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D:\Ken related\HazCom_students\Project\interface\"/>
    </mc:Choice>
  </mc:AlternateContent>
  <xr:revisionPtr revIDLastSave="0" documentId="13_ncr:1_{0026C1DC-E066-46DB-817F-61592070B1A2}" xr6:coauthVersionLast="45" xr6:coauthVersionMax="45" xr10:uidLastSave="{00000000-0000-0000-0000-000000000000}"/>
  <bookViews>
    <workbookView xWindow="-120" yWindow="-120" windowWidth="29040" windowHeight="15840" activeTab="5" xr2:uid="{AB87F922-91A2-4BEA-9B5E-B0C7D8613301}"/>
  </bookViews>
  <sheets>
    <sheet name="Parameters chart" sheetId="1" r:id="rId1"/>
    <sheet name="Precaution" sheetId="2" r:id="rId2"/>
    <sheet name="Mitigation" sheetId="4" r:id="rId3"/>
    <sheet name="Mapping" sheetId="6" r:id="rId4"/>
    <sheet name="Panel_Form" sheetId="5" r:id="rId5"/>
    <sheet name="Panel_Data" sheetId="3" r:id="rId6"/>
  </sheets>
  <definedNames>
    <definedName name="CMRR">'Parameters chart'!$C$9:$C$13</definedName>
    <definedName name="Depth_of_cover">'Parameters chart'!$C$4:$C$8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5" i="5" l="1"/>
</calcChain>
</file>

<file path=xl/sharedStrings.xml><?xml version="1.0" encoding="utf-8"?>
<sst xmlns="http://schemas.openxmlformats.org/spreadsheetml/2006/main" count="311" uniqueCount="213">
  <si>
    <t xml:space="preserve">Sl. No. </t>
  </si>
  <si>
    <t>Parameters</t>
  </si>
  <si>
    <t>Probability Factor</t>
  </si>
  <si>
    <t>Weight</t>
  </si>
  <si>
    <t>Condition</t>
  </si>
  <si>
    <t>Depth of Cover (in m)</t>
  </si>
  <si>
    <t>Less than 45</t>
  </si>
  <si>
    <t>Between 45 to 55</t>
  </si>
  <si>
    <t>Between 55 to 65</t>
  </si>
  <si>
    <t>Between 65 to 85</t>
  </si>
  <si>
    <t>More than 85</t>
  </si>
  <si>
    <t>Floor rock quality</t>
  </si>
  <si>
    <t xml:space="preserve">Weak </t>
  </si>
  <si>
    <t>Intermediate</t>
  </si>
  <si>
    <t>Strong</t>
  </si>
  <si>
    <t>Ground water</t>
  </si>
  <si>
    <t>Dry roof</t>
  </si>
  <si>
    <t>Wet roof</t>
  </si>
  <si>
    <t>Dripping</t>
  </si>
  <si>
    <t>Steady flow</t>
  </si>
  <si>
    <t>Overlying Massive strata/D</t>
  </si>
  <si>
    <t>Do not present</t>
  </si>
  <si>
    <t xml:space="preserve">Multiple-seam interaction/ Interburden thickness
</t>
  </si>
  <si>
    <t>Not present</t>
  </si>
  <si>
    <t>Present/ Less than 10 h</t>
  </si>
  <si>
    <t>Present between 24h and 60 h</t>
  </si>
  <si>
    <t>Present/ More than 60h</t>
  </si>
  <si>
    <t>Present between 10h and 24h</t>
  </si>
  <si>
    <t>Panel Width</t>
  </si>
  <si>
    <t>Sub-critical</t>
  </si>
  <si>
    <t>Critical</t>
  </si>
  <si>
    <t>Super-critical</t>
  </si>
  <si>
    <t>Uniform</t>
  </si>
  <si>
    <t>Partly Uniform</t>
  </si>
  <si>
    <t>Non- uniform</t>
  </si>
  <si>
    <t>Suitable</t>
  </si>
  <si>
    <t>Unsuitable</t>
  </si>
  <si>
    <t>Bolt Density less than 1</t>
  </si>
  <si>
    <t>Bolt Density between 1 and 1.5</t>
  </si>
  <si>
    <t>Bolt density nore than 1.5</t>
  </si>
  <si>
    <t>Panel Uniformity</t>
  </si>
  <si>
    <t>Entry width (m)</t>
  </si>
  <si>
    <t>Pillar design</t>
  </si>
  <si>
    <t>Roof bolting</t>
  </si>
  <si>
    <t>Less than 1</t>
  </si>
  <si>
    <t>Between 1 and 2</t>
  </si>
  <si>
    <t>More than 2</t>
  </si>
  <si>
    <t>Mobile roof support</t>
  </si>
  <si>
    <t>Timber post</t>
  </si>
  <si>
    <t>Outside lift</t>
  </si>
  <si>
    <t>Left right</t>
  </si>
  <si>
    <t>Other sequence</t>
  </si>
  <si>
    <t xml:space="preserve">Proper </t>
  </si>
  <si>
    <t>Improper</t>
  </si>
  <si>
    <t>Panel Age (in Years)</t>
  </si>
  <si>
    <t>Supplemental support</t>
  </si>
  <si>
    <t>Cut sequence</t>
  </si>
  <si>
    <t>Final stump</t>
  </si>
  <si>
    <t xml:space="preserve">GEOLOGICAL PARAMETERS </t>
  </si>
  <si>
    <t>DESIGN PARAMETERS</t>
  </si>
  <si>
    <t>OPERATIONAL PARAMETERES</t>
  </si>
  <si>
    <t>Panel Name</t>
  </si>
  <si>
    <t>Multiple-seam interaction/ Interburden thickness</t>
  </si>
  <si>
    <t>Calculated roof fall risk rating</t>
  </si>
  <si>
    <t>Multiple-seam interaction</t>
  </si>
  <si>
    <t>NEW PANEL FORM</t>
  </si>
  <si>
    <t>Between 40m to 200m</t>
  </si>
  <si>
    <t>More than 600m</t>
  </si>
  <si>
    <t>Present/ Less than 20m</t>
  </si>
  <si>
    <t>Present/ More than 20m</t>
  </si>
  <si>
    <t>Less than 5m</t>
  </si>
  <si>
    <t>Between 5m and 7m</t>
  </si>
  <si>
    <t>More than 7m</t>
  </si>
  <si>
    <t>Less than 40m</t>
  </si>
  <si>
    <t>A hard hat or safety helmet falling objects, low roof projections, etc. The idea is to keep the head by always wearing the helmet.</t>
  </si>
  <si>
    <t>Proper fitting garments, neither too loose nor too tight and giving no hinderance in the performance of the task and devoid of tails or ends flying loose should be used while working with machines and moving tools.</t>
  </si>
  <si>
    <t>Shin-guards, knee pads and special protective devices are available for different parts of body to protect them against possible injuries. Where there is a need for them one should not neglect to wear these.</t>
  </si>
  <si>
    <t>Dust masks should be used for protection of lungs and respiratory system.</t>
  </si>
  <si>
    <t>When working in high places, shafts, steep banks and benches, safety belts and other similar implements should always be worn to prevent falls and serious injury.</t>
  </si>
  <si>
    <t>Always carry a flame safety lamp while in a coal mine. Life may so often depend on what the safety lamp indicates. Similar other indicators and warning devices. make good friends indeed.</t>
  </si>
  <si>
    <t>All warning signals and notice placed near or on a machine must be respected.</t>
  </si>
  <si>
    <t>Everyone has an obligation to stop work that is unsafe</t>
  </si>
  <si>
    <t>Feet should be well protected by wearing an approved type of safety boot.</t>
  </si>
  <si>
    <t>GOLDEN RULES</t>
  </si>
  <si>
    <t>Making timely inspection of all working places, travelling roads tracks, ventilation and safety devices.</t>
  </si>
  <si>
    <t>Carrying making records and reports and seeing that all junior officials and under me are carrying out their duties adequately.</t>
  </si>
  <si>
    <t>Taking prompt action and remedial steps in removing danger in any form.</t>
  </si>
  <si>
    <t>Devoting the entire time of the necessary tests, inspections or visits as often as necessary.</t>
  </si>
  <si>
    <t>Instructing and educating the staff and workers under me in safe practices in the discharge of their day to day work.</t>
  </si>
  <si>
    <t>OVERMAN</t>
  </si>
  <si>
    <t xml:space="preserve">I make the pre-shift inspection of all the working places with a flame safety lamp and accompanied by an assistant. I inspect every part of the mine or district assigned me in which persons have to work or pass during the shift. </t>
  </si>
  <si>
    <t>I also inspect all roads and working places where work is temporarily stopped and ascertain the condition for ventilation, sanitation, presence of gases, state of the roof and sides. During inspection I also check for presence of spontaneous heating and other fire risks and other matter affecting the safety of workers.</t>
  </si>
  <si>
    <t xml:space="preserve">I instruct and educate the workmen under me and demonstrate to them of the methods of performing their particular jobs. </t>
  </si>
  <si>
    <t>I am constantly on the look out to see all the works are done in the approved safe manner and no one adopts unsafe methods.</t>
  </si>
  <si>
    <t>I follow the instructions and orders of superior officials and observe fully the require ments of the Act and of the regulations, and as soon as practicable I report any cont ravention thereof to my superior officials.</t>
  </si>
  <si>
    <t>MINING SIRDAR</t>
  </si>
  <si>
    <t>SHOTFIRER</t>
  </si>
  <si>
    <r>
      <rPr>
        <sz val="7"/>
        <color theme="1"/>
        <rFont val="Times New Roman"/>
        <family val="1"/>
      </rPr>
      <t xml:space="preserve"> </t>
    </r>
    <r>
      <rPr>
        <sz val="11"/>
        <color theme="1"/>
        <rFont val="Calibri"/>
        <family val="2"/>
        <scheme val="minor"/>
      </rPr>
      <t>I carry the explosives in prescribed type of containers according to the rules and regulations.</t>
    </r>
  </si>
  <si>
    <r>
      <rPr>
        <sz val="7"/>
        <color theme="1"/>
        <rFont val="Times New Roman"/>
        <family val="1"/>
      </rPr>
      <t xml:space="preserve"> </t>
    </r>
    <r>
      <rPr>
        <sz val="11"/>
        <color theme="1"/>
        <rFont val="Calibri"/>
        <family val="2"/>
        <scheme val="minor"/>
      </rPr>
      <t>I use only the approved tools, materials exploders and other apparatus.</t>
    </r>
  </si>
  <si>
    <t>I check for any cracks inside shothole by means of a crack detector. If any crack is detected in a shothole, it is abondoned.</t>
  </si>
  <si>
    <r>
      <rPr>
        <sz val="7"/>
        <color theme="1"/>
        <rFont val="Times New Roman"/>
        <family val="1"/>
      </rPr>
      <t xml:space="preserve"> </t>
    </r>
    <r>
      <rPr>
        <sz val="11"/>
        <color theme="1"/>
        <rFont val="Calibri"/>
        <family val="2"/>
        <scheme val="minor"/>
      </rPr>
      <t xml:space="preserve">I mark the proper direction of the shotholes before drilling of the holes and check their position after drilling. At the time of charging. </t>
    </r>
  </si>
  <si>
    <r>
      <rPr>
        <sz val="7"/>
        <color theme="1"/>
        <rFont val="Times New Roman"/>
        <family val="1"/>
      </rPr>
      <t xml:space="preserve"> </t>
    </r>
    <r>
      <rPr>
        <sz val="11"/>
        <color theme="1"/>
        <rFont val="Calibri"/>
        <family val="2"/>
        <scheme val="minor"/>
      </rPr>
      <t>I see that the shotholes are properly charged and stemmed. I personally connect the shotholes to the firing cable after seeing that all persons are removed from the place.</t>
    </r>
  </si>
  <si>
    <r>
      <rPr>
        <sz val="7"/>
        <color theme="1"/>
        <rFont val="Times New Roman"/>
        <family val="1"/>
      </rPr>
      <t xml:space="preserve"> </t>
    </r>
    <r>
      <rPr>
        <sz val="11"/>
        <color theme="1"/>
        <rFont val="Calibri"/>
        <family val="2"/>
        <scheme val="minor"/>
      </rPr>
      <t>After I am satisfied that all have taken adequate shelter and I have also taken safe shelter I connect the shot-firing cable and test the circuit. If the test is in order, I fire.</t>
    </r>
  </si>
  <si>
    <t>TIMBERMAN</t>
  </si>
  <si>
    <t>Fencing off dangerous places, goaves, etc., as instructed by the superiors,</t>
  </si>
  <si>
    <t>Securing the roof and sides by support members of adequate size and in prescribed manner.</t>
  </si>
  <si>
    <t>Ensuring that sufficient timber of good quality and adequate size is kept in the district where I work and requisition such timber from the superior authorities if in short supply.</t>
  </si>
  <si>
    <t>Replacing or rescuing without delay the support members which have become loose or displaced or defective as required.</t>
  </si>
  <si>
    <t>Withdrawing the support when ordered, in a safe way, by using Sylvester Prop withdrawal or other safety device.</t>
  </si>
  <si>
    <t>Following the orders of my superiors and the provisions of Systematic Timbering Rules as laid down for the mine.</t>
  </si>
  <si>
    <t>Defination of Responsibility</t>
  </si>
  <si>
    <t>Mitigation measures</t>
  </si>
  <si>
    <t>Build a barricade at a location with  sufficient and clean air.</t>
  </si>
  <si>
    <t>Pound periodically on rail, roof ,metal pieces, or anything that makes sound.</t>
  </si>
  <si>
    <t>Drop pieces of clothing or possessions at periodic distances to leave clues for rescue team.</t>
  </si>
  <si>
    <t>If Trapped</t>
  </si>
  <si>
    <t xml:space="preserve">EMERGENCY PREPAREDNESS </t>
  </si>
  <si>
    <t xml:space="preserve">In the event of a medical, rescue or other emergency,   </t>
  </si>
  <si>
    <t>DIAL “000” or Mobile “112” DO NOT HANG UP UNTIL INSTRUCTED TO DO SO</t>
  </si>
  <si>
    <t>Be ready to provide information such as:</t>
  </si>
  <si>
    <t>Your name, location and phone number</t>
  </si>
  <si>
    <t>Nature of the emergency.</t>
  </si>
  <si>
    <t>Types of injuries</t>
  </si>
  <si>
    <t>Number of people injured/ involved</t>
  </si>
  <si>
    <t>What assistance is required</t>
  </si>
  <si>
    <t>What hazard exists.</t>
  </si>
  <si>
    <t>Name of workers trained in first aid:</t>
  </si>
  <si>
    <t>Assembly Point-</t>
  </si>
  <si>
    <t>Location of First Aid kit-</t>
  </si>
  <si>
    <t>Location of fire extinguishers.</t>
  </si>
  <si>
    <t>Name</t>
  </si>
  <si>
    <t>Date and Time of Occurrence:</t>
  </si>
  <si>
    <t>Occupation</t>
  </si>
  <si>
    <t>Witness</t>
  </si>
  <si>
    <t>Mechanism of injury</t>
  </si>
  <si>
    <t>Shift</t>
  </si>
  <si>
    <t>Location</t>
  </si>
  <si>
    <t>Events prior to incident</t>
  </si>
  <si>
    <t>Describe the incident</t>
  </si>
  <si>
    <t>Injury Classification</t>
  </si>
  <si>
    <t>PPE in use of at that time</t>
  </si>
  <si>
    <t xml:space="preserve">Signature </t>
  </si>
  <si>
    <t xml:space="preserve">Date </t>
  </si>
  <si>
    <t>HAZARD REPORTING FORM</t>
  </si>
  <si>
    <t>Risk Category</t>
  </si>
  <si>
    <t>Rrf Value</t>
  </si>
  <si>
    <t>Roof fall probability</t>
  </si>
  <si>
    <t>Level of roof fall risk</t>
  </si>
  <si>
    <t>Low</t>
  </si>
  <si>
    <t>Moderate</t>
  </si>
  <si>
    <t>High</t>
  </si>
  <si>
    <t>Very High</t>
  </si>
  <si>
    <t>0-28</t>
  </si>
  <si>
    <t>28-48</t>
  </si>
  <si>
    <t>48-70</t>
  </si>
  <si>
    <t>70-100</t>
  </si>
  <si>
    <t>Improbable</t>
  </si>
  <si>
    <t>Possible</t>
  </si>
  <si>
    <t>Probable</t>
  </si>
  <si>
    <t>Very Probable</t>
  </si>
  <si>
    <t>Acceptable</t>
  </si>
  <si>
    <t>Acceptable with management review, monitoring and auditing</t>
  </si>
  <si>
    <t>Undesirable and requires control measures widely</t>
  </si>
  <si>
    <t>Unacceptable</t>
  </si>
  <si>
    <t>Zones</t>
  </si>
  <si>
    <t>Green</t>
  </si>
  <si>
    <t>Yellow</t>
  </si>
  <si>
    <t>Orange</t>
  </si>
  <si>
    <t>Red</t>
  </si>
  <si>
    <t>Overman</t>
  </si>
  <si>
    <t>Mining Sirdar</t>
  </si>
  <si>
    <t>Shotfirer</t>
  </si>
  <si>
    <t>Timberman</t>
  </si>
  <si>
    <t>Designation</t>
  </si>
  <si>
    <t>Frugal Techniques for roof fall detection</t>
  </si>
  <si>
    <t>Water sipping at the junction of goaf areas.</t>
  </si>
  <si>
    <t>Golden rules, DOR</t>
  </si>
  <si>
    <t>Mitigation measures, if trapped, Designation specific mitigation, Emergency prepedness, hazard report</t>
  </si>
  <si>
    <t>Golden rules, Mitigation measures, frugal techniques</t>
  </si>
  <si>
    <t>Mitigation measures, Designation specific mitigation, Emergency prepedness, frugal techniques</t>
  </si>
  <si>
    <t>What information</t>
  </si>
  <si>
    <t>Familiarize himself with every part and condition in my district. I familiarize my with the support, ventilation and safety rules is force and the equipment and appliances used for the same.</t>
  </si>
  <si>
    <t>Seeing to adequate supply of timber, brattice, stone dust and other essential stores is available at appointed places in the mine</t>
  </si>
  <si>
    <t>Designation specific mitigation</t>
  </si>
  <si>
    <t>Make sure that dangerous places adequately fenced off.</t>
  </si>
  <si>
    <t>Wear respirator when exposed to bitumen fumes, dust, asbestos particles, etc.</t>
  </si>
  <si>
    <t>One must without fail associate and identify all abnormal seepage of water, unusual smells, abnormal temperature, humidity, sounds, etc., with danger and inform about these to the first available competent person.</t>
  </si>
  <si>
    <t>Remove any danger observed or reported to him.</t>
  </si>
  <si>
    <t>Cracking of timber props.</t>
  </si>
  <si>
    <t>Using a stick and hitting on the roof, if there is a hollow sound then roof fall probability increase.</t>
  </si>
  <si>
    <t>Escaping is topmost priority.</t>
  </si>
  <si>
    <t>Evacuate co-workers in  vicinity to roof fall.</t>
  </si>
  <si>
    <t>Alert adjacent districts and  control station immediately .</t>
  </si>
  <si>
    <t>Use emergency ways to exit.</t>
  </si>
  <si>
    <t>If not possible, find your own exit way through belt lines, tracks.</t>
  </si>
  <si>
    <t>Lastly, Keep calm to save energy and oxygen.</t>
  </si>
  <si>
    <t>Ensure the use of covered walkways or alternative safeguards such as safety nets.</t>
  </si>
  <si>
    <t>Fence off all approaches to the dangerous place .</t>
  </si>
  <si>
    <t>Always select and use personal protective equipment appropriate for the job.</t>
  </si>
  <si>
    <t>Reduce risk due to vibrations by taking short breaks at frequent intervals.</t>
  </si>
  <si>
    <t>Ensure that there are no stray currents, static electricity, or strong RF radiation sources that could cause a premature explosion.</t>
  </si>
  <si>
    <t>Ensure that there have been no misfires before restarting work.</t>
  </si>
  <si>
    <t>Always wear gloves, mask,Wear earplugs while cutting.</t>
  </si>
  <si>
    <t>Instantaneously report any injury or accident to superior .</t>
  </si>
  <si>
    <t>Always know Do’s and Don’ts of using and maintenance of tools.</t>
  </si>
  <si>
    <t>If danger is observed at a place where the workers employed report to him, withdraw all workers from dangerous place and don’t leave the place until the danger has been removed in his presence.</t>
  </si>
  <si>
    <t>On getting news of accident to a person in your district, go to the location, inspect the area and, if needed, supervise the rescue operations, and send notice of the accident to some higher authority.</t>
  </si>
  <si>
    <t>Must see that the shotholes are properly charged and stemmed. Personally connect the shotholes to firing cable after seeing all workers away from the place.</t>
  </si>
  <si>
    <t>Common worker</t>
  </si>
  <si>
    <t>Golden rules</t>
  </si>
  <si>
    <t>Mitigation measures, Emergency prepedness, frugal techniques</t>
  </si>
  <si>
    <t>Mitigation measures, if trapped, Emergency prepedness, hazard report</t>
  </si>
  <si>
    <t>Rock Mass Rating (RMR)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</si>
</sst>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6"/>
      <color theme="1"/>
      <name val="Calibri"/>
      <family val="2"/>
      <scheme val="minor"/>
    </font>
    <font>
      <b/>
      <sz val="16"/>
      <color rgb="FF000000"/>
      <name val="Calibri"/>
      <family val="2"/>
    </font>
    <font>
      <sz val="7"/>
      <color theme="1"/>
      <name val="Times New Roman"/>
      <family val="1"/>
    </font>
    <font>
      <sz val="11"/>
      <color theme="1"/>
      <name val="Calibri"/>
      <family val="1"/>
      <scheme val="minor"/>
    </font>
    <font>
      <b/>
      <sz val="11"/>
      <color rgb="FFFF000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color rgb="FF000000"/>
      <name val="Calibri"/>
      <family val="2"/>
    </font>
  </fonts>
  <fills count="13">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7"/>
        <bgColor indexed="64"/>
      </patternFill>
    </fill>
    <fill>
      <patternFill patternType="solid">
        <fgColor rgb="FFFFFF00"/>
        <bgColor indexed="64"/>
      </patternFill>
    </fill>
    <fill>
      <patternFill patternType="solid">
        <fgColor rgb="FF0070C0"/>
        <bgColor indexed="64"/>
      </patternFill>
    </fill>
    <fill>
      <patternFill patternType="solid">
        <fgColor theme="7" tint="0.79998168889431442"/>
        <bgColor indexed="64"/>
      </patternFill>
    </fill>
    <fill>
      <patternFill patternType="solid">
        <fgColor theme="9"/>
        <bgColor indexed="64"/>
      </patternFill>
    </fill>
    <fill>
      <patternFill patternType="solid">
        <fgColor theme="5"/>
        <bgColor indexed="64"/>
      </patternFill>
    </fill>
    <fill>
      <patternFill patternType="solid">
        <fgColor rgb="FFFF0000"/>
        <bgColor indexed="64"/>
      </patternFill>
    </fill>
    <fill>
      <patternFill patternType="solid">
        <fgColor rgb="FFD9D9D9"/>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1">
    <xf numFmtId="0" fontId="0" fillId="0" borderId="0"/>
  </cellStyleXfs>
  <cellXfs count="149">
    <xf numFmtId="0" fontId="0" fillId="0" borderId="0" xfId="0"/>
    <xf numFmtId="0" fontId="0" fillId="0" borderId="4" xfId="0" applyBorder="1"/>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6" xfId="0" applyFont="1" applyBorder="1" applyAlignment="1">
      <alignment horizontal="center" vertical="center" wrapText="1"/>
    </xf>
    <xf numFmtId="0" fontId="1" fillId="0" borderId="7" xfId="0" applyFont="1" applyBorder="1" applyAlignment="1">
      <alignment horizontal="center" vertical="center"/>
    </xf>
    <xf numFmtId="0" fontId="0" fillId="0" borderId="11" xfId="0" applyBorder="1"/>
    <xf numFmtId="0" fontId="0" fillId="0" borderId="4" xfId="0" applyBorder="1" applyAlignment="1">
      <alignment wrapText="1"/>
    </xf>
    <xf numFmtId="0" fontId="0" fillId="0" borderId="11" xfId="0" applyBorder="1" applyAlignment="1">
      <alignment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5" xfId="0" applyFont="1" applyBorder="1" applyAlignment="1">
      <alignment horizontal="center" vertical="center" wrapText="1"/>
    </xf>
    <xf numFmtId="0" fontId="0" fillId="0" borderId="0" xfId="0" applyAlignment="1">
      <alignment horizontal="center" wrapText="1"/>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9" xfId="0" applyBorder="1"/>
    <xf numFmtId="0" fontId="0" fillId="0" borderId="12" xfId="0" applyBorder="1"/>
    <xf numFmtId="0" fontId="0" fillId="0" borderId="15" xfId="0" applyBorder="1"/>
    <xf numFmtId="0" fontId="0" fillId="0" borderId="0" xfId="0" applyAlignment="1">
      <alignment wrapText="1"/>
    </xf>
    <xf numFmtId="0" fontId="0" fillId="0" borderId="8" xfId="0" applyBorder="1"/>
    <xf numFmtId="0" fontId="0" fillId="0" borderId="10" xfId="0" applyBorder="1"/>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0" fillId="0" borderId="22" xfId="0" applyBorder="1"/>
    <xf numFmtId="0" fontId="7" fillId="0" borderId="9" xfId="0" applyFont="1" applyBorder="1" applyAlignment="1">
      <alignment horizontal="left" vertical="center" wrapText="1"/>
    </xf>
    <xf numFmtId="0" fontId="7" fillId="0" borderId="12" xfId="0" applyFont="1" applyBorder="1" applyAlignment="1">
      <alignment horizontal="left" vertical="center" wrapText="1"/>
    </xf>
    <xf numFmtId="0" fontId="0" fillId="0" borderId="14" xfId="0" applyBorder="1"/>
    <xf numFmtId="0" fontId="0" fillId="0" borderId="23" xfId="0" applyBorder="1"/>
    <xf numFmtId="0" fontId="8" fillId="0" borderId="19" xfId="0" applyFont="1" applyBorder="1" applyAlignment="1">
      <alignment vertical="center" wrapText="1"/>
    </xf>
    <xf numFmtId="0" fontId="0" fillId="0" borderId="18" xfId="0" applyBorder="1"/>
    <xf numFmtId="0" fontId="0" fillId="0" borderId="24" xfId="0" applyBorder="1"/>
    <xf numFmtId="0" fontId="8" fillId="0" borderId="19" xfId="0" applyFont="1" applyBorder="1" applyAlignment="1">
      <alignment vertical="center"/>
    </xf>
    <xf numFmtId="0" fontId="0" fillId="0" borderId="25" xfId="0" applyBorder="1"/>
    <xf numFmtId="0" fontId="0" fillId="0" borderId="9" xfId="0" applyBorder="1" applyAlignment="1">
      <alignment wrapText="1"/>
    </xf>
    <xf numFmtId="0" fontId="0" fillId="0" borderId="12" xfId="0" applyBorder="1" applyAlignment="1">
      <alignment wrapText="1"/>
    </xf>
    <xf numFmtId="0" fontId="0" fillId="5" borderId="8" xfId="0" applyFill="1" applyBorder="1" applyAlignment="1">
      <alignment horizontal="center" vertical="center" wrapText="1"/>
    </xf>
    <xf numFmtId="0" fontId="0" fillId="8" borderId="9" xfId="0" applyFill="1" applyBorder="1"/>
    <xf numFmtId="0" fontId="0" fillId="5" borderId="10" xfId="0" applyFill="1" applyBorder="1" applyAlignment="1">
      <alignment horizontal="center" vertical="center" wrapText="1"/>
    </xf>
    <xf numFmtId="0" fontId="0" fillId="8" borderId="12" xfId="0" applyFill="1" applyBorder="1"/>
    <xf numFmtId="0" fontId="0" fillId="9" borderId="9" xfId="0" applyFill="1" applyBorder="1"/>
    <xf numFmtId="0" fontId="0" fillId="5" borderId="9" xfId="0" applyFill="1" applyBorder="1"/>
    <xf numFmtId="0" fontId="0" fillId="10" borderId="9" xfId="0" applyFill="1" applyBorder="1"/>
    <xf numFmtId="0" fontId="0" fillId="11" borderId="12" xfId="0" applyFill="1" applyBorder="1"/>
    <xf numFmtId="0" fontId="0" fillId="0" borderId="5" xfId="0" applyBorder="1"/>
    <xf numFmtId="0" fontId="0" fillId="0" borderId="6" xfId="0" applyBorder="1"/>
    <xf numFmtId="0" fontId="0" fillId="0" borderId="13" xfId="0" applyBorder="1"/>
    <xf numFmtId="0" fontId="0" fillId="0" borderId="15" xfId="0" applyBorder="1" applyAlignment="1">
      <alignment wrapText="1"/>
    </xf>
    <xf numFmtId="0" fontId="0" fillId="0" borderId="7" xfId="0" applyBorder="1" applyAlignment="1">
      <alignment wrapText="1"/>
    </xf>
    <xf numFmtId="0" fontId="1" fillId="6" borderId="28" xfId="0" applyFont="1" applyFill="1" applyBorder="1"/>
    <xf numFmtId="0" fontId="1" fillId="6" borderId="29" xfId="0" applyFont="1" applyFill="1" applyBorder="1"/>
    <xf numFmtId="0" fontId="1" fillId="6" borderId="30" xfId="0" applyFont="1" applyFill="1" applyBorder="1"/>
    <xf numFmtId="49" fontId="0" fillId="0" borderId="9" xfId="0" applyNumberFormat="1" applyBorder="1" applyAlignment="1">
      <alignment vertical="center" wrapText="1"/>
    </xf>
    <xf numFmtId="49" fontId="0" fillId="0" borderId="0" xfId="0" applyNumberFormat="1"/>
    <xf numFmtId="49" fontId="0" fillId="0" borderId="8" xfId="0" applyNumberFormat="1" applyBorder="1" applyAlignment="1">
      <alignment horizontal="center" vertical="center"/>
    </xf>
    <xf numFmtId="49" fontId="0" fillId="0" borderId="4" xfId="0" applyNumberFormat="1" applyBorder="1" applyAlignment="1">
      <alignment horizontal="left" vertical="center" wrapText="1"/>
    </xf>
    <xf numFmtId="49" fontId="0" fillId="0" borderId="4" xfId="0" applyNumberFormat="1" applyBorder="1" applyAlignment="1">
      <alignment horizontal="center" vertical="center"/>
    </xf>
    <xf numFmtId="49" fontId="0" fillId="0" borderId="4" xfId="0" applyNumberFormat="1" applyFont="1" applyBorder="1" applyAlignment="1">
      <alignment horizontal="left" vertical="center" wrapText="1"/>
    </xf>
    <xf numFmtId="49" fontId="5" fillId="0" borderId="4" xfId="0" applyNumberFormat="1" applyFont="1" applyBorder="1" applyAlignment="1">
      <alignment horizontal="left" vertical="center" wrapText="1"/>
    </xf>
    <xf numFmtId="49" fontId="0" fillId="0" borderId="9" xfId="0" applyNumberFormat="1" applyBorder="1" applyAlignment="1">
      <alignment horizontal="left" vertical="center" wrapText="1"/>
    </xf>
    <xf numFmtId="49" fontId="0" fillId="0" borderId="9" xfId="0" applyNumberFormat="1" applyFont="1" applyBorder="1" applyAlignment="1">
      <alignment horizontal="left" vertical="center" wrapText="1"/>
    </xf>
    <xf numFmtId="49" fontId="0" fillId="0" borderId="10" xfId="0" applyNumberFormat="1" applyBorder="1" applyAlignment="1">
      <alignment horizontal="center" vertical="center"/>
    </xf>
    <xf numFmtId="49" fontId="0" fillId="0" borderId="11" xfId="0" applyNumberFormat="1" applyBorder="1" applyAlignment="1">
      <alignment horizontal="left" vertical="center" wrapText="1"/>
    </xf>
    <xf numFmtId="49" fontId="0" fillId="0" borderId="11" xfId="0" applyNumberFormat="1" applyBorder="1" applyAlignment="1">
      <alignment horizontal="center" vertical="center"/>
    </xf>
    <xf numFmtId="49" fontId="5" fillId="0" borderId="11" xfId="0" applyNumberFormat="1" applyFont="1" applyBorder="1" applyAlignment="1">
      <alignment horizontal="left" vertical="center" wrapText="1"/>
    </xf>
    <xf numFmtId="49" fontId="0" fillId="0" borderId="12" xfId="0" applyNumberFormat="1" applyBorder="1" applyAlignment="1">
      <alignment horizontal="left" vertical="center" wrapText="1"/>
    </xf>
    <xf numFmtId="49" fontId="0" fillId="0" borderId="12" xfId="0" applyNumberFormat="1" applyFont="1" applyBorder="1" applyAlignment="1">
      <alignment horizontal="left" vertical="center" wrapText="1"/>
    </xf>
    <xf numFmtId="49" fontId="0" fillId="0" borderId="0" xfId="0" applyNumberFormat="1" applyAlignment="1">
      <alignment horizontal="left" vertical="center"/>
    </xf>
    <xf numFmtId="49" fontId="0" fillId="0" borderId="0" xfId="0" applyNumberFormat="1" applyAlignment="1">
      <alignment wrapText="1"/>
    </xf>
    <xf numFmtId="49" fontId="0" fillId="0" borderId="4" xfId="0" applyNumberFormat="1" applyBorder="1" applyAlignment="1">
      <alignment wrapText="1"/>
    </xf>
    <xf numFmtId="49" fontId="0" fillId="0" borderId="20" xfId="0" applyNumberFormat="1" applyBorder="1" applyAlignment="1">
      <alignment wrapText="1"/>
    </xf>
    <xf numFmtId="0" fontId="1" fillId="0" borderId="5" xfId="0" applyFont="1" applyBorder="1" applyAlignment="1">
      <alignment horizontal="center" vertical="center" wrapText="1"/>
    </xf>
    <xf numFmtId="0" fontId="0" fillId="0" borderId="7" xfId="0" applyBorder="1"/>
    <xf numFmtId="0" fontId="1" fillId="0" borderId="8" xfId="0" applyFont="1" applyBorder="1" applyAlignment="1">
      <alignment horizontal="center" vertical="center" wrapText="1"/>
    </xf>
    <xf numFmtId="0" fontId="1" fillId="0" borderId="10" xfId="0" applyFont="1" applyBorder="1" applyAlignment="1">
      <alignment horizontal="center" vertical="center" wrapText="1"/>
    </xf>
    <xf numFmtId="0" fontId="0" fillId="0" borderId="0" xfId="0" applyBorder="1"/>
    <xf numFmtId="0" fontId="0" fillId="0" borderId="30" xfId="0" applyBorder="1"/>
    <xf numFmtId="0" fontId="0" fillId="0" borderId="34" xfId="0" applyBorder="1"/>
    <xf numFmtId="0" fontId="0" fillId="0" borderId="35" xfId="0" applyBorder="1"/>
    <xf numFmtId="0" fontId="0" fillId="0" borderId="36" xfId="0" applyBorder="1"/>
    <xf numFmtId="0" fontId="0" fillId="0" borderId="34" xfId="0" applyBorder="1" applyAlignment="1">
      <alignment wrapText="1"/>
    </xf>
    <xf numFmtId="0" fontId="0" fillId="0" borderId="5" xfId="0" applyFill="1" applyBorder="1"/>
    <xf numFmtId="0" fontId="0" fillId="0" borderId="6" xfId="0" applyBorder="1" applyAlignment="1">
      <alignment wrapText="1"/>
    </xf>
    <xf numFmtId="0" fontId="0" fillId="0" borderId="8" xfId="0" applyFill="1" applyBorder="1"/>
    <xf numFmtId="0" fontId="0" fillId="0" borderId="10" xfId="0" applyFill="1" applyBorder="1"/>
    <xf numFmtId="2" fontId="0" fillId="0" borderId="0" xfId="0" applyNumberFormat="1"/>
    <xf numFmtId="0" fontId="0" fillId="0" borderId="9" xfId="0" applyBorder="1" applyAlignment="1">
      <alignment horizontal="center" vertical="center"/>
    </xf>
    <xf numFmtId="0" fontId="0" fillId="0" borderId="12" xfId="0" applyBorder="1" applyAlignment="1">
      <alignment horizontal="center" vertical="center"/>
    </xf>
    <xf numFmtId="0" fontId="0" fillId="0" borderId="4" xfId="0" applyBorder="1" applyAlignment="1">
      <alignment horizontal="center" vertical="center" wrapText="1"/>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4" xfId="0" applyBorder="1" applyAlignment="1">
      <alignment horizontal="center" wrapText="1"/>
    </xf>
    <xf numFmtId="0" fontId="0" fillId="0" borderId="11" xfId="0" applyBorder="1" applyAlignment="1">
      <alignment horizontal="center" wrapText="1"/>
    </xf>
    <xf numFmtId="0" fontId="0" fillId="0" borderId="4" xfId="0" applyBorder="1" applyAlignment="1">
      <alignment vertical="center" wrapText="1"/>
    </xf>
    <xf numFmtId="0" fontId="0" fillId="0" borderId="11" xfId="0" applyBorder="1" applyAlignment="1">
      <alignment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0" fillId="0" borderId="9" xfId="0" applyBorder="1" applyAlignment="1">
      <alignment horizontal="center" vertical="center" wrapText="1"/>
    </xf>
    <xf numFmtId="0" fontId="0" fillId="0" borderId="12" xfId="0" applyBorder="1" applyAlignment="1">
      <alignment horizontal="center" vertical="center" wrapText="1"/>
    </xf>
    <xf numFmtId="0" fontId="0" fillId="0" borderId="11" xfId="0"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 fillId="4" borderId="16" xfId="0" applyFont="1" applyFill="1" applyBorder="1" applyAlignment="1">
      <alignment horizontal="center"/>
    </xf>
    <xf numFmtId="0" fontId="1" fillId="4" borderId="17" xfId="0" applyFont="1" applyFill="1" applyBorder="1" applyAlignment="1">
      <alignment horizontal="center"/>
    </xf>
    <xf numFmtId="0" fontId="1" fillId="4" borderId="18" xfId="0" applyFont="1" applyFill="1" applyBorder="1" applyAlignment="1">
      <alignment horizontal="center"/>
    </xf>
    <xf numFmtId="49" fontId="1" fillId="6" borderId="26" xfId="0" applyNumberFormat="1" applyFont="1" applyFill="1" applyBorder="1" applyAlignment="1">
      <alignment horizontal="center"/>
    </xf>
    <xf numFmtId="49" fontId="1" fillId="6" borderId="27" xfId="0" applyNumberFormat="1" applyFont="1" applyFill="1" applyBorder="1" applyAlignment="1">
      <alignment horizontal="center"/>
    </xf>
    <xf numFmtId="49" fontId="1" fillId="2" borderId="8" xfId="0" applyNumberFormat="1" applyFont="1" applyFill="1" applyBorder="1" applyAlignment="1">
      <alignment horizontal="center" vertical="center"/>
    </xf>
    <xf numFmtId="49" fontId="1" fillId="2" borderId="4" xfId="0" applyNumberFormat="1" applyFont="1" applyFill="1" applyBorder="1" applyAlignment="1">
      <alignment horizontal="center" vertical="center"/>
    </xf>
    <xf numFmtId="49" fontId="1" fillId="3" borderId="4" xfId="0" applyNumberFormat="1" applyFont="1" applyFill="1" applyBorder="1" applyAlignment="1">
      <alignment horizontal="center" vertical="center"/>
    </xf>
    <xf numFmtId="49" fontId="1" fillId="4" borderId="4" xfId="0" applyNumberFormat="1" applyFont="1" applyFill="1" applyBorder="1" applyAlignment="1">
      <alignment horizontal="center" vertical="center"/>
    </xf>
    <xf numFmtId="49" fontId="1" fillId="6" borderId="5" xfId="0" applyNumberFormat="1" applyFont="1" applyFill="1" applyBorder="1" applyAlignment="1">
      <alignment horizontal="center" vertical="center"/>
    </xf>
    <xf numFmtId="49" fontId="1" fillId="6" borderId="6" xfId="0" applyNumberFormat="1" applyFont="1" applyFill="1" applyBorder="1" applyAlignment="1">
      <alignment horizontal="center" vertical="center"/>
    </xf>
    <xf numFmtId="49" fontId="1" fillId="6" borderId="7" xfId="0" applyNumberFormat="1" applyFont="1" applyFill="1" applyBorder="1" applyAlignment="1">
      <alignment horizontal="center" vertical="center"/>
    </xf>
    <xf numFmtId="49" fontId="1" fillId="7" borderId="20" xfId="0" applyNumberFormat="1" applyFont="1" applyFill="1" applyBorder="1" applyAlignment="1">
      <alignment horizontal="center" vertical="center"/>
    </xf>
    <xf numFmtId="49" fontId="1" fillId="7" borderId="21" xfId="0" applyNumberFormat="1" applyFont="1" applyFill="1" applyBorder="1" applyAlignment="1">
      <alignment horizontal="center" vertical="center"/>
    </xf>
    <xf numFmtId="0" fontId="1" fillId="0" borderId="26" xfId="0" applyFont="1" applyBorder="1" applyAlignment="1">
      <alignment horizontal="center" wrapText="1"/>
    </xf>
    <xf numFmtId="0" fontId="1" fillId="0" borderId="27" xfId="0" applyFont="1" applyBorder="1" applyAlignment="1">
      <alignment horizontal="center" wrapText="1"/>
    </xf>
    <xf numFmtId="0" fontId="1" fillId="6" borderId="5" xfId="0" applyFont="1" applyFill="1" applyBorder="1" applyAlignment="1">
      <alignment horizontal="center"/>
    </xf>
    <xf numFmtId="0" fontId="1" fillId="6" borderId="7" xfId="0" applyFont="1" applyFill="1" applyBorder="1" applyAlignment="1">
      <alignment horizontal="center"/>
    </xf>
    <xf numFmtId="0" fontId="1" fillId="2" borderId="13" xfId="0" applyFont="1" applyFill="1" applyBorder="1" applyAlignment="1">
      <alignment horizontal="center" vertical="center"/>
    </xf>
    <xf numFmtId="0" fontId="1" fillId="2" borderId="15" xfId="0" applyFont="1" applyFill="1" applyBorder="1" applyAlignment="1">
      <alignment horizontal="center" vertical="center"/>
    </xf>
    <xf numFmtId="0" fontId="6" fillId="0" borderId="5"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xf numFmtId="0" fontId="6" fillId="0" borderId="8" xfId="0" applyFont="1" applyBorder="1" applyAlignment="1">
      <alignment horizontal="center"/>
    </xf>
    <xf numFmtId="0" fontId="6" fillId="0" borderId="4" xfId="0" applyFont="1" applyBorder="1" applyAlignment="1">
      <alignment horizontal="center"/>
    </xf>
    <xf numFmtId="0" fontId="6" fillId="0" borderId="9" xfId="0" applyFont="1" applyBorder="1" applyAlignment="1">
      <alignment horizontal="center"/>
    </xf>
    <xf numFmtId="0" fontId="6" fillId="0" borderId="10" xfId="0" applyFont="1"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49" fontId="1" fillId="7" borderId="4" xfId="0" applyNumberFormat="1" applyFont="1" applyFill="1" applyBorder="1" applyAlignment="1">
      <alignment horizontal="center" vertical="center"/>
    </xf>
    <xf numFmtId="49" fontId="1" fillId="3" borderId="20" xfId="0" applyNumberFormat="1" applyFont="1" applyFill="1" applyBorder="1" applyAlignment="1">
      <alignment horizontal="center" vertical="center"/>
    </xf>
    <xf numFmtId="0" fontId="1" fillId="6" borderId="4" xfId="0" applyFont="1" applyFill="1" applyBorder="1" applyAlignment="1">
      <alignment horizontal="center"/>
    </xf>
    <xf numFmtId="0" fontId="1" fillId="0" borderId="26" xfId="0" applyFont="1" applyBorder="1" applyAlignment="1">
      <alignment horizontal="center" vertical="center" textRotation="90"/>
    </xf>
    <xf numFmtId="0" fontId="1" fillId="0" borderId="31" xfId="0" applyFont="1" applyBorder="1" applyAlignment="1">
      <alignment horizontal="center" vertical="center" textRotation="90"/>
    </xf>
    <xf numFmtId="0" fontId="1" fillId="0" borderId="32" xfId="0" applyFont="1" applyBorder="1" applyAlignment="1">
      <alignment horizontal="center" vertical="center" textRotation="90"/>
    </xf>
    <xf numFmtId="0" fontId="1" fillId="0" borderId="33" xfId="0" applyFont="1" applyBorder="1" applyAlignment="1">
      <alignment horizontal="center" textRotation="90"/>
    </xf>
    <xf numFmtId="0" fontId="1" fillId="0" borderId="31" xfId="0" applyFont="1" applyBorder="1" applyAlignment="1">
      <alignment horizontal="center" textRotation="90"/>
    </xf>
    <xf numFmtId="0" fontId="1" fillId="0" borderId="32" xfId="0" applyFont="1" applyBorder="1" applyAlignment="1">
      <alignment horizontal="center" textRotation="90"/>
    </xf>
    <xf numFmtId="0" fontId="2" fillId="5" borderId="19" xfId="0" applyFont="1" applyFill="1" applyBorder="1" applyAlignment="1">
      <alignment horizontal="center" vertical="center"/>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xf numFmtId="1" fontId="10" fillId="12" borderId="37" xfId="0" applyNumberFormat="1" applyFont="1" applyFill="1" applyBorder="1" applyAlignment="1">
      <alignment horizontal="right"/>
    </xf>
    <xf numFmtId="1" fontId="7" fillId="12" borderId="38" xfId="0" applyNumberFormat="1" applyFont="1" applyFill="1" applyBorder="1" applyAlignment="1">
      <alignment horizontal="right"/>
    </xf>
  </cellXfs>
  <cellStyles count="1">
    <cellStyle name="Normal" xfId="0" builtinId="0"/>
  </cellStyles>
  <dxfs count="2">
    <dxf>
      <numFmt numFmtId="1" formatCode="0"/>
    </dxf>
    <dxf>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22</xdr:row>
          <xdr:rowOff>133350</xdr:rowOff>
        </xdr:from>
        <xdr:to>
          <xdr:col>3</xdr:col>
          <xdr:colOff>561975</xdr:colOff>
          <xdr:row>23</xdr:row>
          <xdr:rowOff>219075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cs typeface="Calibri"/>
                </a:rPr>
                <a:t>ENTER DATA </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D1CABE7-8A28-456B-8822-648BAA93D574}" name="Panel_Database" displayName="Panel_Database" ref="A1:R5" totalsRowShown="0" headerRowDxfId="1">
  <autoFilter ref="A1:R5" xr:uid="{3386FE0B-5863-426D-94B6-29E9536A166C}"/>
  <tableColumns count="18">
    <tableColumn id="1" xr3:uid="{98700B4D-9A89-4CDC-A3C4-37135C9BA304}" name="Sl. No. "/>
    <tableColumn id="2" xr3:uid="{C18DDA06-1D68-4984-9E30-93E4B7264D9B}" name="Panel Name"/>
    <tableColumn id="3" xr3:uid="{270D61FE-761D-4375-B841-A3A3A58DE54E}" name="Depth of Cover (in m)"/>
    <tableColumn id="4" xr3:uid="{743BC93B-183A-45B2-987A-1D97D7E7C25C}" name="Rock Mass Rating (RMR)"/>
    <tableColumn id="5" xr3:uid="{20196A5B-86D0-4426-8ECE-BA38CC88DE09}" name="Floor rock quality"/>
    <tableColumn id="6" xr3:uid="{4FDE2757-F3C8-496E-89AC-E5FC3909E063}" name="Ground water"/>
    <tableColumn id="7" xr3:uid="{73BB0564-1482-4C2B-BC25-424E8BF3BE83}" name="Overlying Massive strata/D"/>
    <tableColumn id="8" xr3:uid="{B78F86B2-1B65-416C-8A71-C7A2654B78E2}" name="Multiple-seam interaction/ Interburden thickness"/>
    <tableColumn id="9" xr3:uid="{81B72075-6D93-49E1-B343-A19161316E2E}" name="Panel Width"/>
    <tableColumn id="10" xr3:uid="{5B2F51AE-9394-4A21-875A-A87568C2E52E}" name="Panel Uniformity"/>
    <tableColumn id="11" xr3:uid="{E7DE3031-9778-47DC-A001-88951847101D}" name="Entry width (m)"/>
    <tableColumn id="12" xr3:uid="{12566F69-9F8E-41C9-B098-6265EFF100B9}" name="Pillar design"/>
    <tableColumn id="13" xr3:uid="{30AFC9C8-F702-4B59-B1F0-6AB28B9BCA32}" name="Roof bolting"/>
    <tableColumn id="14" xr3:uid="{C8D9F8AD-DE47-45D3-BE94-918382DEAB2D}" name="Panel Age (in Years)"/>
    <tableColumn id="15" xr3:uid="{33EC55F2-E53B-4325-AE8F-1DE316E9036F}" name="Supplemental support"/>
    <tableColumn id="16" xr3:uid="{5DBF8310-8827-4CB0-9D0D-CB8A40DF087D}" name="Cut sequence"/>
    <tableColumn id="17" xr3:uid="{0C88806B-6C0E-4522-AFAB-95E043343190}" name="Final stump"/>
    <tableColumn id="18" xr3:uid="{357BC85E-4536-4ABD-BBE5-472C523D82ED}" name="Calculated roof fall risk rating"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D3F5D-D852-440C-B3D1-4B94F29F8D53}">
  <sheetPr codeName="Sheet1"/>
  <dimension ref="A1:Q28"/>
  <sheetViews>
    <sheetView zoomScale="90" workbookViewId="0">
      <selection activeCell="B9" sqref="B9:B13"/>
    </sheetView>
  </sheetViews>
  <sheetFormatPr defaultRowHeight="15" x14ac:dyDescent="0.25"/>
  <cols>
    <col min="1" max="1" width="7.85546875" customWidth="1"/>
    <col min="2" max="2" width="16.140625" customWidth="1"/>
    <col min="3" max="3" width="28.85546875" customWidth="1"/>
    <col min="4" max="4" width="14.85546875" customWidth="1"/>
    <col min="5" max="5" width="11" customWidth="1"/>
    <col min="7" max="7" width="7.28515625" customWidth="1"/>
    <col min="8" max="8" width="16.140625" customWidth="1"/>
    <col min="9" max="9" width="30.140625" customWidth="1"/>
    <col min="10" max="10" width="14" customWidth="1"/>
    <col min="11" max="11" width="12.5703125" customWidth="1"/>
    <col min="14" max="14" width="16.28515625" customWidth="1"/>
    <col min="15" max="15" width="31.28515625" customWidth="1"/>
    <col min="16" max="16" width="11.7109375" customWidth="1"/>
    <col min="17" max="17" width="10.7109375" customWidth="1"/>
  </cols>
  <sheetData>
    <row r="1" spans="1:17" ht="15.75" thickBot="1" x14ac:dyDescent="0.3"/>
    <row r="2" spans="1:17" ht="15.75" thickBot="1" x14ac:dyDescent="0.3">
      <c r="A2" s="100" t="s">
        <v>58</v>
      </c>
      <c r="B2" s="101"/>
      <c r="C2" s="101"/>
      <c r="D2" s="101"/>
      <c r="E2" s="102"/>
      <c r="G2" s="103" t="s">
        <v>59</v>
      </c>
      <c r="H2" s="104"/>
      <c r="I2" s="104"/>
      <c r="J2" s="104"/>
      <c r="K2" s="105"/>
      <c r="M2" s="106" t="s">
        <v>60</v>
      </c>
      <c r="N2" s="107"/>
      <c r="O2" s="107"/>
      <c r="P2" s="107"/>
      <c r="Q2" s="108"/>
    </row>
    <row r="3" spans="1:17" ht="31.5" customHeight="1" x14ac:dyDescent="0.25">
      <c r="A3" s="2" t="s">
        <v>0</v>
      </c>
      <c r="B3" s="3" t="s">
        <v>1</v>
      </c>
      <c r="C3" s="3" t="s">
        <v>4</v>
      </c>
      <c r="D3" s="4" t="s">
        <v>2</v>
      </c>
      <c r="E3" s="5" t="s">
        <v>3</v>
      </c>
      <c r="G3" s="9" t="s">
        <v>0</v>
      </c>
      <c r="H3" s="10" t="s">
        <v>1</v>
      </c>
      <c r="I3" s="10" t="s">
        <v>4</v>
      </c>
      <c r="J3" s="10" t="s">
        <v>2</v>
      </c>
      <c r="K3" s="11" t="s">
        <v>3</v>
      </c>
      <c r="M3" s="9" t="s">
        <v>0</v>
      </c>
      <c r="N3" s="10" t="s">
        <v>1</v>
      </c>
      <c r="O3" s="10" t="s">
        <v>4</v>
      </c>
      <c r="P3" s="10" t="s">
        <v>2</v>
      </c>
      <c r="Q3" s="11" t="s">
        <v>3</v>
      </c>
    </row>
    <row r="4" spans="1:17" x14ac:dyDescent="0.25">
      <c r="A4" s="89">
        <v>1</v>
      </c>
      <c r="B4" s="88" t="s">
        <v>5</v>
      </c>
      <c r="C4" s="1" t="s">
        <v>73</v>
      </c>
      <c r="D4" s="1">
        <v>4</v>
      </c>
      <c r="E4" s="86">
        <v>9</v>
      </c>
      <c r="G4" s="95">
        <v>1</v>
      </c>
      <c r="H4" s="93" t="s">
        <v>28</v>
      </c>
      <c r="I4" s="7" t="s">
        <v>29</v>
      </c>
      <c r="J4" s="7">
        <v>1</v>
      </c>
      <c r="K4" s="97">
        <v>3</v>
      </c>
      <c r="M4" s="89">
        <v>1</v>
      </c>
      <c r="N4" s="88" t="s">
        <v>54</v>
      </c>
      <c r="O4" s="1" t="s">
        <v>44</v>
      </c>
      <c r="P4" s="1">
        <v>1</v>
      </c>
      <c r="Q4" s="86">
        <v>2</v>
      </c>
    </row>
    <row r="5" spans="1:17" x14ac:dyDescent="0.25">
      <c r="A5" s="89"/>
      <c r="B5" s="88"/>
      <c r="C5" s="1" t="s">
        <v>66</v>
      </c>
      <c r="D5" s="1">
        <v>1</v>
      </c>
      <c r="E5" s="86"/>
      <c r="G5" s="95"/>
      <c r="H5" s="93"/>
      <c r="I5" s="7" t="s">
        <v>30</v>
      </c>
      <c r="J5" s="7">
        <v>2</v>
      </c>
      <c r="K5" s="97"/>
      <c r="M5" s="89"/>
      <c r="N5" s="88"/>
      <c r="O5" s="1" t="s">
        <v>45</v>
      </c>
      <c r="P5" s="1">
        <v>2</v>
      </c>
      <c r="Q5" s="86"/>
    </row>
    <row r="6" spans="1:17" x14ac:dyDescent="0.25">
      <c r="A6" s="89"/>
      <c r="B6" s="88"/>
      <c r="C6" s="1" t="s">
        <v>66</v>
      </c>
      <c r="D6" s="1">
        <v>2</v>
      </c>
      <c r="E6" s="86"/>
      <c r="G6" s="95"/>
      <c r="H6" s="93"/>
      <c r="I6" s="7" t="s">
        <v>31</v>
      </c>
      <c r="J6" s="7">
        <v>3</v>
      </c>
      <c r="K6" s="97"/>
      <c r="M6" s="89"/>
      <c r="N6" s="88"/>
      <c r="O6" s="1" t="s">
        <v>46</v>
      </c>
      <c r="P6" s="1">
        <v>3</v>
      </c>
      <c r="Q6" s="86"/>
    </row>
    <row r="7" spans="1:17" x14ac:dyDescent="0.25">
      <c r="A7" s="89"/>
      <c r="B7" s="88"/>
      <c r="C7" s="1" t="s">
        <v>66</v>
      </c>
      <c r="D7" s="1">
        <v>3</v>
      </c>
      <c r="E7" s="86"/>
      <c r="G7" s="95">
        <v>2</v>
      </c>
      <c r="H7" s="93" t="s">
        <v>40</v>
      </c>
      <c r="I7" s="7" t="s">
        <v>32</v>
      </c>
      <c r="J7" s="7">
        <v>1</v>
      </c>
      <c r="K7" s="97">
        <v>1</v>
      </c>
      <c r="M7" s="89">
        <v>2</v>
      </c>
      <c r="N7" s="88" t="s">
        <v>55</v>
      </c>
      <c r="O7" s="1" t="s">
        <v>47</v>
      </c>
      <c r="P7" s="1">
        <v>1</v>
      </c>
      <c r="Q7" s="86">
        <v>7</v>
      </c>
    </row>
    <row r="8" spans="1:17" x14ac:dyDescent="0.25">
      <c r="A8" s="89"/>
      <c r="B8" s="88"/>
      <c r="C8" s="1" t="s">
        <v>67</v>
      </c>
      <c r="D8" s="1">
        <v>4</v>
      </c>
      <c r="E8" s="86"/>
      <c r="G8" s="95"/>
      <c r="H8" s="93"/>
      <c r="I8" s="7" t="s">
        <v>33</v>
      </c>
      <c r="J8" s="7">
        <v>2</v>
      </c>
      <c r="K8" s="97"/>
      <c r="M8" s="89"/>
      <c r="N8" s="88"/>
      <c r="O8" s="1" t="s">
        <v>48</v>
      </c>
      <c r="P8" s="1">
        <v>4</v>
      </c>
      <c r="Q8" s="86"/>
    </row>
    <row r="9" spans="1:17" x14ac:dyDescent="0.25">
      <c r="A9" s="89">
        <v>2</v>
      </c>
      <c r="B9" s="88" t="s">
        <v>212</v>
      </c>
      <c r="C9" s="1" t="s">
        <v>6</v>
      </c>
      <c r="D9" s="1">
        <v>4</v>
      </c>
      <c r="E9" s="86">
        <v>10</v>
      </c>
      <c r="G9" s="95"/>
      <c r="H9" s="93"/>
      <c r="I9" s="7" t="s">
        <v>34</v>
      </c>
      <c r="J9" s="7">
        <v>3</v>
      </c>
      <c r="K9" s="97"/>
      <c r="M9" s="89"/>
      <c r="N9" s="88"/>
      <c r="O9" s="1" t="s">
        <v>49</v>
      </c>
      <c r="P9" s="1">
        <v>1</v>
      </c>
      <c r="Q9" s="86"/>
    </row>
    <row r="10" spans="1:17" x14ac:dyDescent="0.25">
      <c r="A10" s="89"/>
      <c r="B10" s="88"/>
      <c r="C10" s="1" t="s">
        <v>7</v>
      </c>
      <c r="D10" s="1">
        <v>3</v>
      </c>
      <c r="E10" s="86"/>
      <c r="G10" s="95">
        <v>3</v>
      </c>
      <c r="H10" s="93" t="s">
        <v>41</v>
      </c>
      <c r="I10" s="7" t="s">
        <v>70</v>
      </c>
      <c r="J10" s="7">
        <v>1</v>
      </c>
      <c r="K10" s="97">
        <v>8</v>
      </c>
      <c r="M10" s="89">
        <v>3</v>
      </c>
      <c r="N10" s="88" t="s">
        <v>56</v>
      </c>
      <c r="O10" s="1" t="s">
        <v>50</v>
      </c>
      <c r="P10" s="1">
        <v>2</v>
      </c>
      <c r="Q10" s="86">
        <v>6</v>
      </c>
    </row>
    <row r="11" spans="1:17" x14ac:dyDescent="0.25">
      <c r="A11" s="89"/>
      <c r="B11" s="88"/>
      <c r="C11" s="1" t="s">
        <v>8</v>
      </c>
      <c r="D11" s="1">
        <v>2</v>
      </c>
      <c r="E11" s="86"/>
      <c r="G11" s="95"/>
      <c r="H11" s="93"/>
      <c r="I11" s="7" t="s">
        <v>71</v>
      </c>
      <c r="J11" s="7">
        <v>2</v>
      </c>
      <c r="K11" s="97"/>
      <c r="M11" s="89"/>
      <c r="N11" s="88"/>
      <c r="O11" s="1" t="s">
        <v>51</v>
      </c>
      <c r="P11" s="1">
        <v>3</v>
      </c>
      <c r="Q11" s="86"/>
    </row>
    <row r="12" spans="1:17" x14ac:dyDescent="0.25">
      <c r="A12" s="89"/>
      <c r="B12" s="88"/>
      <c r="C12" s="1" t="s">
        <v>9</v>
      </c>
      <c r="D12" s="1">
        <v>1</v>
      </c>
      <c r="E12" s="86"/>
      <c r="G12" s="95"/>
      <c r="H12" s="93"/>
      <c r="I12" s="7" t="s">
        <v>72</v>
      </c>
      <c r="J12" s="7">
        <v>3</v>
      </c>
      <c r="K12" s="97"/>
      <c r="M12" s="89">
        <v>4</v>
      </c>
      <c r="N12" s="88" t="s">
        <v>57</v>
      </c>
      <c r="O12" s="1" t="s">
        <v>52</v>
      </c>
      <c r="P12" s="1">
        <v>1</v>
      </c>
      <c r="Q12" s="86">
        <v>8</v>
      </c>
    </row>
    <row r="13" spans="1:17" ht="15.75" thickBot="1" x14ac:dyDescent="0.3">
      <c r="A13" s="89"/>
      <c r="B13" s="88"/>
      <c r="C13" s="1" t="s">
        <v>10</v>
      </c>
      <c r="D13" s="1">
        <v>0</v>
      </c>
      <c r="E13" s="86"/>
      <c r="G13" s="95">
        <v>4</v>
      </c>
      <c r="H13" s="93" t="s">
        <v>42</v>
      </c>
      <c r="I13" s="7" t="s">
        <v>35</v>
      </c>
      <c r="J13" s="7">
        <v>1</v>
      </c>
      <c r="K13" s="97">
        <v>6</v>
      </c>
      <c r="M13" s="90"/>
      <c r="N13" s="99"/>
      <c r="O13" s="6" t="s">
        <v>53</v>
      </c>
      <c r="P13" s="6">
        <v>4</v>
      </c>
      <c r="Q13" s="87"/>
    </row>
    <row r="14" spans="1:17" x14ac:dyDescent="0.25">
      <c r="A14" s="89">
        <v>3</v>
      </c>
      <c r="B14" s="88" t="s">
        <v>11</v>
      </c>
      <c r="C14" s="1" t="s">
        <v>12</v>
      </c>
      <c r="D14" s="1">
        <v>3</v>
      </c>
      <c r="E14" s="86">
        <v>4</v>
      </c>
      <c r="G14" s="95"/>
      <c r="H14" s="93"/>
      <c r="I14" s="7" t="s">
        <v>36</v>
      </c>
      <c r="J14" s="7">
        <v>4</v>
      </c>
      <c r="K14" s="97"/>
    </row>
    <row r="15" spans="1:17" x14ac:dyDescent="0.25">
      <c r="A15" s="89"/>
      <c r="B15" s="88"/>
      <c r="C15" s="1" t="s">
        <v>13</v>
      </c>
      <c r="D15" s="1">
        <v>2</v>
      </c>
      <c r="E15" s="86"/>
      <c r="G15" s="95">
        <v>5</v>
      </c>
      <c r="H15" s="93" t="s">
        <v>43</v>
      </c>
      <c r="I15" s="7" t="s">
        <v>37</v>
      </c>
      <c r="J15" s="7">
        <v>3</v>
      </c>
      <c r="K15" s="97">
        <v>7</v>
      </c>
    </row>
    <row r="16" spans="1:17" x14ac:dyDescent="0.25">
      <c r="A16" s="89"/>
      <c r="B16" s="88"/>
      <c r="C16" s="1" t="s">
        <v>14</v>
      </c>
      <c r="D16" s="1">
        <v>1</v>
      </c>
      <c r="E16" s="86"/>
      <c r="G16" s="95"/>
      <c r="H16" s="93"/>
      <c r="I16" s="7" t="s">
        <v>38</v>
      </c>
      <c r="J16" s="7">
        <v>2</v>
      </c>
      <c r="K16" s="97"/>
    </row>
    <row r="17" spans="1:11" ht="15.75" thickBot="1" x14ac:dyDescent="0.3">
      <c r="A17" s="89">
        <v>4</v>
      </c>
      <c r="B17" s="88" t="s">
        <v>15</v>
      </c>
      <c r="C17" s="1" t="s">
        <v>16</v>
      </c>
      <c r="D17" s="1">
        <v>0</v>
      </c>
      <c r="E17" s="86">
        <v>2</v>
      </c>
      <c r="G17" s="96"/>
      <c r="H17" s="94"/>
      <c r="I17" s="8" t="s">
        <v>39</v>
      </c>
      <c r="J17" s="8">
        <v>1</v>
      </c>
      <c r="K17" s="98"/>
    </row>
    <row r="18" spans="1:11" x14ac:dyDescent="0.25">
      <c r="A18" s="89"/>
      <c r="B18" s="88"/>
      <c r="C18" s="1" t="s">
        <v>17</v>
      </c>
      <c r="D18" s="1">
        <v>1</v>
      </c>
      <c r="E18" s="86"/>
    </row>
    <row r="19" spans="1:11" x14ac:dyDescent="0.25">
      <c r="A19" s="89"/>
      <c r="B19" s="88"/>
      <c r="C19" s="1" t="s">
        <v>18</v>
      </c>
      <c r="D19" s="1">
        <v>3</v>
      </c>
      <c r="E19" s="86"/>
    </row>
    <row r="20" spans="1:11" x14ac:dyDescent="0.25">
      <c r="A20" s="89"/>
      <c r="B20" s="88"/>
      <c r="C20" s="1" t="s">
        <v>19</v>
      </c>
      <c r="D20" s="1">
        <v>4</v>
      </c>
      <c r="E20" s="86"/>
    </row>
    <row r="21" spans="1:11" x14ac:dyDescent="0.25">
      <c r="A21" s="89">
        <v>5</v>
      </c>
      <c r="B21" s="88" t="s">
        <v>20</v>
      </c>
      <c r="C21" s="1" t="s">
        <v>21</v>
      </c>
      <c r="D21" s="1">
        <v>0</v>
      </c>
      <c r="E21" s="86">
        <v>5</v>
      </c>
    </row>
    <row r="22" spans="1:11" x14ac:dyDescent="0.25">
      <c r="A22" s="89"/>
      <c r="B22" s="88"/>
      <c r="C22" s="1" t="s">
        <v>68</v>
      </c>
      <c r="D22" s="1">
        <v>3</v>
      </c>
      <c r="E22" s="86"/>
    </row>
    <row r="23" spans="1:11" x14ac:dyDescent="0.25">
      <c r="A23" s="89"/>
      <c r="B23" s="88"/>
      <c r="C23" s="1" t="s">
        <v>69</v>
      </c>
      <c r="D23" s="1">
        <v>1</v>
      </c>
      <c r="E23" s="86"/>
    </row>
    <row r="24" spans="1:11" ht="18.75" customHeight="1" x14ac:dyDescent="0.25">
      <c r="A24" s="89">
        <v>6</v>
      </c>
      <c r="B24" s="91" t="s">
        <v>22</v>
      </c>
      <c r="C24" s="1" t="s">
        <v>23</v>
      </c>
      <c r="D24" s="1">
        <v>0</v>
      </c>
      <c r="E24" s="86">
        <v>7</v>
      </c>
    </row>
    <row r="25" spans="1:11" x14ac:dyDescent="0.25">
      <c r="A25" s="89"/>
      <c r="B25" s="91"/>
      <c r="C25" s="1" t="s">
        <v>24</v>
      </c>
      <c r="D25" s="1">
        <v>4</v>
      </c>
      <c r="E25" s="86"/>
    </row>
    <row r="26" spans="1:11" x14ac:dyDescent="0.25">
      <c r="A26" s="89"/>
      <c r="B26" s="91"/>
      <c r="C26" s="1" t="s">
        <v>27</v>
      </c>
      <c r="D26" s="1">
        <v>3</v>
      </c>
      <c r="E26" s="86"/>
    </row>
    <row r="27" spans="1:11" x14ac:dyDescent="0.25">
      <c r="A27" s="89"/>
      <c r="B27" s="91"/>
      <c r="C27" s="1" t="s">
        <v>25</v>
      </c>
      <c r="D27" s="1">
        <v>2</v>
      </c>
      <c r="E27" s="86"/>
    </row>
    <row r="28" spans="1:11" ht="15.75" thickBot="1" x14ac:dyDescent="0.3">
      <c r="A28" s="90"/>
      <c r="B28" s="92"/>
      <c r="C28" s="6" t="s">
        <v>26</v>
      </c>
      <c r="D28" s="6">
        <v>1</v>
      </c>
      <c r="E28" s="87"/>
    </row>
  </sheetData>
  <mergeCells count="48">
    <mergeCell ref="A2:E2"/>
    <mergeCell ref="G2:K2"/>
    <mergeCell ref="M2:Q2"/>
    <mergeCell ref="Q4:Q6"/>
    <mergeCell ref="Q7:Q9"/>
    <mergeCell ref="K4:K6"/>
    <mergeCell ref="K7:K9"/>
    <mergeCell ref="H4:H6"/>
    <mergeCell ref="H7:H9"/>
    <mergeCell ref="A4:A8"/>
    <mergeCell ref="A9:A13"/>
    <mergeCell ref="E4:E8"/>
    <mergeCell ref="E9:E13"/>
    <mergeCell ref="Q10:Q11"/>
    <mergeCell ref="Q12:Q13"/>
    <mergeCell ref="M4:M6"/>
    <mergeCell ref="K15:K17"/>
    <mergeCell ref="N4:N6"/>
    <mergeCell ref="N7:N9"/>
    <mergeCell ref="N10:N11"/>
    <mergeCell ref="N12:N13"/>
    <mergeCell ref="M7:M9"/>
    <mergeCell ref="M10:M11"/>
    <mergeCell ref="M12:M13"/>
    <mergeCell ref="K10:K12"/>
    <mergeCell ref="K13:K14"/>
    <mergeCell ref="H10:H12"/>
    <mergeCell ref="H13:H14"/>
    <mergeCell ref="H15:H17"/>
    <mergeCell ref="G4:G6"/>
    <mergeCell ref="G7:G9"/>
    <mergeCell ref="G10:G12"/>
    <mergeCell ref="G13:G14"/>
    <mergeCell ref="G15:G17"/>
    <mergeCell ref="A14:A16"/>
    <mergeCell ref="A17:A20"/>
    <mergeCell ref="A21:A23"/>
    <mergeCell ref="A24:A28"/>
    <mergeCell ref="B24:B28"/>
    <mergeCell ref="E14:E16"/>
    <mergeCell ref="E17:E20"/>
    <mergeCell ref="E21:E23"/>
    <mergeCell ref="E24:E28"/>
    <mergeCell ref="B4:B8"/>
    <mergeCell ref="B9:B13"/>
    <mergeCell ref="B14:B16"/>
    <mergeCell ref="B17:B20"/>
    <mergeCell ref="B21:B2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721D-ECFA-4040-A739-F79321F6A9C0}">
  <sheetPr codeName="Sheet2"/>
  <dimension ref="A1:K23"/>
  <sheetViews>
    <sheetView topLeftCell="C1" workbookViewId="0">
      <selection activeCell="J2" sqref="J2:K8"/>
    </sheetView>
  </sheetViews>
  <sheetFormatPr defaultRowHeight="15" x14ac:dyDescent="0.25"/>
  <cols>
    <col min="1" max="1" width="5.85546875" style="53" customWidth="1"/>
    <col min="2" max="2" width="74.42578125" style="53" customWidth="1"/>
    <col min="3" max="4" width="9.140625" style="53"/>
    <col min="5" max="5" width="47.7109375" style="53" customWidth="1"/>
    <col min="6" max="6" width="9.140625" style="53"/>
    <col min="7" max="7" width="65.7109375" style="53" customWidth="1"/>
    <col min="8" max="8" width="9.140625" style="53"/>
    <col min="9" max="9" width="51.28515625" style="53" customWidth="1"/>
    <col min="10" max="10" width="9.140625" style="53"/>
    <col min="11" max="11" width="47.7109375" style="53" customWidth="1"/>
    <col min="12" max="16384" width="9.140625" style="53"/>
  </cols>
  <sheetData>
    <row r="1" spans="1:11" x14ac:dyDescent="0.25">
      <c r="A1" s="109" t="s">
        <v>83</v>
      </c>
      <c r="B1" s="110"/>
      <c r="D1" s="115" t="s">
        <v>110</v>
      </c>
      <c r="E1" s="116"/>
      <c r="F1" s="116"/>
      <c r="G1" s="116"/>
      <c r="H1" s="116"/>
      <c r="I1" s="116"/>
      <c r="J1" s="116"/>
      <c r="K1" s="117"/>
    </row>
    <row r="2" spans="1:11" ht="45" x14ac:dyDescent="0.25">
      <c r="A2" s="54">
        <v>1</v>
      </c>
      <c r="B2" s="52" t="s">
        <v>75</v>
      </c>
      <c r="D2" s="111" t="s">
        <v>89</v>
      </c>
      <c r="E2" s="112"/>
      <c r="F2" s="113" t="s">
        <v>95</v>
      </c>
      <c r="G2" s="113"/>
      <c r="H2" s="114" t="s">
        <v>96</v>
      </c>
      <c r="I2" s="114"/>
      <c r="J2" s="118" t="s">
        <v>103</v>
      </c>
      <c r="K2" s="119"/>
    </row>
    <row r="3" spans="1:11" ht="45" x14ac:dyDescent="0.25">
      <c r="A3" s="54">
        <v>2</v>
      </c>
      <c r="B3" s="52" t="s">
        <v>74</v>
      </c>
      <c r="D3" s="54">
        <v>1</v>
      </c>
      <c r="E3" s="55" t="s">
        <v>84</v>
      </c>
      <c r="F3" s="56">
        <v>1</v>
      </c>
      <c r="G3" s="57" t="s">
        <v>181</v>
      </c>
      <c r="H3" s="56">
        <v>1</v>
      </c>
      <c r="I3" s="58" t="s">
        <v>97</v>
      </c>
      <c r="J3" s="56">
        <v>1</v>
      </c>
      <c r="K3" s="59" t="s">
        <v>104</v>
      </c>
    </row>
    <row r="4" spans="1:11" ht="60" x14ac:dyDescent="0.25">
      <c r="A4" s="54">
        <v>3</v>
      </c>
      <c r="B4" s="60" t="s">
        <v>82</v>
      </c>
      <c r="D4" s="54">
        <v>2</v>
      </c>
      <c r="E4" s="55" t="s">
        <v>182</v>
      </c>
      <c r="F4" s="56">
        <v>2</v>
      </c>
      <c r="G4" s="55" t="s">
        <v>90</v>
      </c>
      <c r="H4" s="56">
        <v>2</v>
      </c>
      <c r="I4" s="58" t="s">
        <v>98</v>
      </c>
      <c r="J4" s="56">
        <v>2</v>
      </c>
      <c r="K4" s="59" t="s">
        <v>105</v>
      </c>
    </row>
    <row r="5" spans="1:11" ht="75" x14ac:dyDescent="0.25">
      <c r="A5" s="54">
        <v>4</v>
      </c>
      <c r="B5" s="60" t="s">
        <v>76</v>
      </c>
      <c r="D5" s="54">
        <v>3</v>
      </c>
      <c r="E5" s="55" t="s">
        <v>85</v>
      </c>
      <c r="F5" s="56">
        <v>3</v>
      </c>
      <c r="G5" s="55" t="s">
        <v>91</v>
      </c>
      <c r="H5" s="56">
        <v>3</v>
      </c>
      <c r="I5" s="58" t="s">
        <v>102</v>
      </c>
      <c r="J5" s="56">
        <v>3</v>
      </c>
      <c r="K5" s="59" t="s">
        <v>106</v>
      </c>
    </row>
    <row r="6" spans="1:11" ht="45" x14ac:dyDescent="0.25">
      <c r="A6" s="54">
        <v>5</v>
      </c>
      <c r="B6" s="60" t="s">
        <v>77</v>
      </c>
      <c r="D6" s="54">
        <v>4</v>
      </c>
      <c r="E6" s="55" t="s">
        <v>86</v>
      </c>
      <c r="F6" s="56">
        <v>4</v>
      </c>
      <c r="G6" s="55" t="s">
        <v>92</v>
      </c>
      <c r="H6" s="56">
        <v>4</v>
      </c>
      <c r="I6" s="55" t="s">
        <v>99</v>
      </c>
      <c r="J6" s="56">
        <v>4</v>
      </c>
      <c r="K6" s="59" t="s">
        <v>107</v>
      </c>
    </row>
    <row r="7" spans="1:11" ht="45" x14ac:dyDescent="0.25">
      <c r="A7" s="54">
        <v>6</v>
      </c>
      <c r="B7" s="60" t="s">
        <v>78</v>
      </c>
      <c r="D7" s="54">
        <v>5</v>
      </c>
      <c r="E7" s="55" t="s">
        <v>87</v>
      </c>
      <c r="F7" s="56">
        <v>5</v>
      </c>
      <c r="G7" s="55" t="s">
        <v>93</v>
      </c>
      <c r="H7" s="56">
        <v>5</v>
      </c>
      <c r="I7" s="58" t="s">
        <v>100</v>
      </c>
      <c r="J7" s="56">
        <v>5</v>
      </c>
      <c r="K7" s="59" t="s">
        <v>108</v>
      </c>
    </row>
    <row r="8" spans="1:11" ht="60.75" thickBot="1" x14ac:dyDescent="0.3">
      <c r="A8" s="54">
        <v>7</v>
      </c>
      <c r="B8" s="60" t="s">
        <v>79</v>
      </c>
      <c r="D8" s="61">
        <v>6</v>
      </c>
      <c r="E8" s="62" t="s">
        <v>88</v>
      </c>
      <c r="F8" s="63">
        <v>6</v>
      </c>
      <c r="G8" s="62" t="s">
        <v>94</v>
      </c>
      <c r="H8" s="63">
        <v>6</v>
      </c>
      <c r="I8" s="64" t="s">
        <v>101</v>
      </c>
      <c r="J8" s="63">
        <v>6</v>
      </c>
      <c r="K8" s="65" t="s">
        <v>109</v>
      </c>
    </row>
    <row r="9" spans="1:11" ht="45" x14ac:dyDescent="0.25">
      <c r="A9" s="54">
        <v>8</v>
      </c>
      <c r="B9" s="60" t="s">
        <v>186</v>
      </c>
    </row>
    <row r="10" spans="1:11" x14ac:dyDescent="0.25">
      <c r="A10" s="54">
        <v>9</v>
      </c>
      <c r="B10" s="60" t="s">
        <v>80</v>
      </c>
    </row>
    <row r="11" spans="1:11" ht="15.75" thickBot="1" x14ac:dyDescent="0.3">
      <c r="A11" s="61">
        <v>10</v>
      </c>
      <c r="B11" s="66" t="s">
        <v>81</v>
      </c>
    </row>
    <row r="18" spans="9:9" x14ac:dyDescent="0.25">
      <c r="I18" s="67"/>
    </row>
    <row r="19" spans="9:9" x14ac:dyDescent="0.25">
      <c r="I19" s="67"/>
    </row>
    <row r="20" spans="9:9" x14ac:dyDescent="0.25">
      <c r="I20" s="67"/>
    </row>
    <row r="21" spans="9:9" x14ac:dyDescent="0.25">
      <c r="I21" s="67"/>
    </row>
    <row r="22" spans="9:9" x14ac:dyDescent="0.25">
      <c r="I22" s="67"/>
    </row>
    <row r="23" spans="9:9" x14ac:dyDescent="0.25">
      <c r="I23" s="67"/>
    </row>
  </sheetData>
  <mergeCells count="6">
    <mergeCell ref="A1:B1"/>
    <mergeCell ref="D2:E2"/>
    <mergeCell ref="F2:G2"/>
    <mergeCell ref="H2:I2"/>
    <mergeCell ref="D1:K1"/>
    <mergeCell ref="J2:K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91B7B-A40C-4883-837E-2270E2AA4420}">
  <sheetPr codeName="Sheet3"/>
  <dimension ref="A1:AC14"/>
  <sheetViews>
    <sheetView zoomScale="85" workbookViewId="0">
      <selection activeCell="AB2" sqref="AB2:AC5"/>
    </sheetView>
  </sheetViews>
  <sheetFormatPr defaultRowHeight="15" x14ac:dyDescent="0.25"/>
  <cols>
    <col min="2" max="2" width="36.42578125" customWidth="1"/>
    <col min="5" max="5" width="38.7109375" customWidth="1"/>
    <col min="7" max="7" width="6.42578125" customWidth="1"/>
    <col min="8" max="8" width="33" customWidth="1"/>
    <col min="9" max="9" width="15.85546875" customWidth="1"/>
    <col min="10" max="10" width="16.7109375" customWidth="1"/>
    <col min="11" max="11" width="15.85546875" customWidth="1"/>
    <col min="14" max="14" width="18.140625" style="18" customWidth="1"/>
    <col min="15" max="15" width="28.140625" customWidth="1"/>
    <col min="19" max="19" width="31.7109375" customWidth="1"/>
    <col min="22" max="22" width="11.28515625" customWidth="1"/>
    <col min="23" max="23" width="30.85546875" customWidth="1"/>
    <col min="25" max="25" width="60.7109375" customWidth="1"/>
    <col min="27" max="27" width="55.85546875" customWidth="1"/>
    <col min="29" max="29" width="42.140625" customWidth="1"/>
  </cols>
  <sheetData>
    <row r="1" spans="1:29" x14ac:dyDescent="0.25">
      <c r="A1" s="122" t="s">
        <v>111</v>
      </c>
      <c r="B1" s="123"/>
      <c r="D1" s="122" t="s">
        <v>115</v>
      </c>
      <c r="E1" s="123"/>
      <c r="G1" s="126" t="s">
        <v>116</v>
      </c>
      <c r="H1" s="127"/>
      <c r="I1" s="127"/>
      <c r="J1" s="127"/>
      <c r="K1" s="128"/>
      <c r="N1" s="120" t="s">
        <v>143</v>
      </c>
      <c r="O1" s="121"/>
      <c r="R1" s="137" t="s">
        <v>174</v>
      </c>
      <c r="S1" s="137"/>
      <c r="V1" s="115" t="s">
        <v>183</v>
      </c>
      <c r="W1" s="116"/>
      <c r="X1" s="116"/>
      <c r="Y1" s="116"/>
      <c r="Z1" s="116"/>
      <c r="AA1" s="116"/>
      <c r="AB1" s="116"/>
      <c r="AC1" s="117"/>
    </row>
    <row r="2" spans="1:29" ht="30" x14ac:dyDescent="0.25">
      <c r="A2" s="13">
        <v>1</v>
      </c>
      <c r="B2" s="34" t="s">
        <v>190</v>
      </c>
      <c r="D2" s="13">
        <v>1</v>
      </c>
      <c r="E2" s="34" t="s">
        <v>112</v>
      </c>
      <c r="G2" s="129" t="s">
        <v>117</v>
      </c>
      <c r="H2" s="130"/>
      <c r="I2" s="130"/>
      <c r="J2" s="130"/>
      <c r="K2" s="131"/>
      <c r="N2" s="36" t="s">
        <v>130</v>
      </c>
      <c r="O2" s="37"/>
      <c r="R2" s="1">
        <v>1</v>
      </c>
      <c r="S2" s="7" t="s">
        <v>175</v>
      </c>
      <c r="V2" s="112" t="s">
        <v>89</v>
      </c>
      <c r="W2" s="112"/>
      <c r="X2" s="113" t="s">
        <v>95</v>
      </c>
      <c r="Y2" s="136"/>
      <c r="Z2" s="114" t="s">
        <v>96</v>
      </c>
      <c r="AA2" s="114"/>
      <c r="AB2" s="135" t="s">
        <v>103</v>
      </c>
      <c r="AC2" s="135"/>
    </row>
    <row r="3" spans="1:29" ht="63.75" customHeight="1" thickBot="1" x14ac:dyDescent="0.3">
      <c r="A3" s="13">
        <v>2</v>
      </c>
      <c r="B3" s="34" t="s">
        <v>191</v>
      </c>
      <c r="D3" s="13">
        <v>2</v>
      </c>
      <c r="E3" s="34" t="s">
        <v>113</v>
      </c>
      <c r="G3" s="132" t="s">
        <v>118</v>
      </c>
      <c r="H3" s="133"/>
      <c r="I3" s="133"/>
      <c r="J3" s="133"/>
      <c r="K3" s="134"/>
      <c r="N3" s="36" t="s">
        <v>131</v>
      </c>
      <c r="O3" s="37"/>
      <c r="R3" s="1">
        <v>2</v>
      </c>
      <c r="S3" s="7" t="s">
        <v>189</v>
      </c>
      <c r="V3" s="1">
        <v>1</v>
      </c>
      <c r="W3" s="69" t="s">
        <v>187</v>
      </c>
      <c r="X3" s="69">
        <v>1</v>
      </c>
      <c r="Y3" s="70" t="s">
        <v>205</v>
      </c>
      <c r="Z3" s="69">
        <v>1</v>
      </c>
      <c r="AA3" s="69" t="s">
        <v>198</v>
      </c>
      <c r="AB3" s="69">
        <v>1</v>
      </c>
      <c r="AC3" s="69" t="s">
        <v>202</v>
      </c>
    </row>
    <row r="4" spans="1:29" ht="41.25" customHeight="1" thickBot="1" x14ac:dyDescent="0.3">
      <c r="A4" s="13">
        <v>3</v>
      </c>
      <c r="B4" s="34" t="s">
        <v>192</v>
      </c>
      <c r="D4" s="13">
        <v>3</v>
      </c>
      <c r="E4" s="34" t="s">
        <v>114</v>
      </c>
      <c r="G4" s="124" t="s">
        <v>119</v>
      </c>
      <c r="H4" s="125"/>
      <c r="I4" s="28"/>
      <c r="J4" s="29" t="s">
        <v>126</v>
      </c>
      <c r="K4" s="30"/>
      <c r="N4" s="36" t="s">
        <v>135</v>
      </c>
      <c r="O4" s="37"/>
      <c r="R4" s="1">
        <v>3</v>
      </c>
      <c r="S4" s="7" t="s">
        <v>188</v>
      </c>
      <c r="V4" s="1">
        <v>2</v>
      </c>
      <c r="W4" s="69" t="s">
        <v>184</v>
      </c>
      <c r="X4" s="69">
        <v>2</v>
      </c>
      <c r="Y4" s="70" t="s">
        <v>197</v>
      </c>
      <c r="Z4" s="69">
        <v>2</v>
      </c>
      <c r="AA4" s="69" t="s">
        <v>201</v>
      </c>
      <c r="AB4" s="69">
        <v>2</v>
      </c>
      <c r="AC4" s="69" t="s">
        <v>203</v>
      </c>
    </row>
    <row r="5" spans="1:29" ht="57" customHeight="1" thickBot="1" x14ac:dyDescent="0.3">
      <c r="A5" s="13">
        <v>4</v>
      </c>
      <c r="B5" s="34" t="s">
        <v>193</v>
      </c>
      <c r="D5" s="14">
        <v>4</v>
      </c>
      <c r="E5" s="35" t="s">
        <v>195</v>
      </c>
      <c r="G5" s="19">
        <v>1</v>
      </c>
      <c r="H5" s="25" t="s">
        <v>120</v>
      </c>
      <c r="I5" s="31"/>
      <c r="J5" s="32" t="s">
        <v>127</v>
      </c>
      <c r="K5" s="30"/>
      <c r="N5" s="36" t="s">
        <v>136</v>
      </c>
      <c r="O5" s="37"/>
      <c r="V5" s="1">
        <v>3</v>
      </c>
      <c r="W5" s="69" t="s">
        <v>196</v>
      </c>
      <c r="X5" s="69">
        <v>3</v>
      </c>
      <c r="Y5" s="70" t="s">
        <v>206</v>
      </c>
      <c r="Z5" s="69">
        <v>3</v>
      </c>
      <c r="AA5" s="69" t="s">
        <v>207</v>
      </c>
      <c r="AB5" s="69">
        <v>3</v>
      </c>
      <c r="AC5" s="69" t="s">
        <v>204</v>
      </c>
    </row>
    <row r="6" spans="1:29" ht="47.25" customHeight="1" thickBot="1" x14ac:dyDescent="0.3">
      <c r="A6" s="14">
        <v>5</v>
      </c>
      <c r="B6" s="35" t="s">
        <v>194</v>
      </c>
      <c r="G6" s="19">
        <v>2</v>
      </c>
      <c r="H6" s="25" t="s">
        <v>121</v>
      </c>
      <c r="I6" s="31"/>
      <c r="J6" s="29" t="s">
        <v>128</v>
      </c>
      <c r="K6" s="30"/>
      <c r="N6" s="36" t="s">
        <v>132</v>
      </c>
      <c r="O6" s="37"/>
      <c r="W6" s="68"/>
      <c r="X6" s="68"/>
      <c r="Y6" s="68"/>
      <c r="Z6" s="69">
        <v>4</v>
      </c>
      <c r="AA6" s="69" t="s">
        <v>200</v>
      </c>
      <c r="AB6" s="68"/>
      <c r="AC6" s="68"/>
    </row>
    <row r="7" spans="1:29" ht="30" customHeight="1" thickBot="1" x14ac:dyDescent="0.3">
      <c r="G7" s="19">
        <v>3</v>
      </c>
      <c r="H7" s="25" t="s">
        <v>122</v>
      </c>
      <c r="I7" s="31"/>
      <c r="J7" s="29" t="s">
        <v>129</v>
      </c>
      <c r="K7" s="30"/>
      <c r="N7" s="36" t="s">
        <v>133</v>
      </c>
      <c r="O7" s="37"/>
      <c r="W7" s="68"/>
      <c r="X7" s="68"/>
      <c r="Y7" s="68"/>
      <c r="Z7" s="69">
        <v>5</v>
      </c>
      <c r="AA7" s="69" t="s">
        <v>199</v>
      </c>
      <c r="AB7" s="68"/>
    </row>
    <row r="8" spans="1:29" ht="47.25" customHeight="1" x14ac:dyDescent="0.25">
      <c r="G8" s="19">
        <v>4</v>
      </c>
      <c r="H8" s="25" t="s">
        <v>123</v>
      </c>
      <c r="I8" s="24"/>
      <c r="J8" s="27"/>
      <c r="K8" s="17"/>
      <c r="N8" s="36" t="s">
        <v>134</v>
      </c>
      <c r="O8" s="37"/>
      <c r="W8" s="68"/>
      <c r="X8" s="68"/>
      <c r="Y8" s="68"/>
      <c r="Z8" s="69">
        <v>6</v>
      </c>
      <c r="AA8" s="69" t="s">
        <v>185</v>
      </c>
      <c r="AB8" s="68"/>
    </row>
    <row r="9" spans="1:29" ht="30" x14ac:dyDescent="0.25">
      <c r="G9" s="19">
        <v>5</v>
      </c>
      <c r="H9" s="25" t="s">
        <v>124</v>
      </c>
      <c r="I9" s="24"/>
      <c r="J9" s="1"/>
      <c r="K9" s="15"/>
      <c r="N9" s="36" t="s">
        <v>140</v>
      </c>
      <c r="O9" s="37"/>
    </row>
    <row r="10" spans="1:29" ht="30.75" thickBot="1" x14ac:dyDescent="0.3">
      <c r="G10" s="20">
        <v>6</v>
      </c>
      <c r="H10" s="26" t="s">
        <v>125</v>
      </c>
      <c r="I10" s="33"/>
      <c r="J10" s="6"/>
      <c r="K10" s="16"/>
      <c r="N10" s="36" t="s">
        <v>139</v>
      </c>
      <c r="O10" s="37"/>
    </row>
    <row r="11" spans="1:29" ht="30" x14ac:dyDescent="0.25">
      <c r="N11" s="36" t="s">
        <v>137</v>
      </c>
      <c r="O11" s="37"/>
    </row>
    <row r="12" spans="1:29" ht="30" x14ac:dyDescent="0.25">
      <c r="N12" s="36" t="s">
        <v>138</v>
      </c>
      <c r="O12" s="37"/>
    </row>
    <row r="13" spans="1:29" x14ac:dyDescent="0.25">
      <c r="N13" s="36" t="s">
        <v>141</v>
      </c>
      <c r="O13" s="37"/>
    </row>
    <row r="14" spans="1:29" ht="15.75" thickBot="1" x14ac:dyDescent="0.3">
      <c r="N14" s="38" t="s">
        <v>142</v>
      </c>
      <c r="O14" s="39"/>
    </row>
  </sheetData>
  <mergeCells count="13">
    <mergeCell ref="AB2:AC2"/>
    <mergeCell ref="Z2:AA2"/>
    <mergeCell ref="X2:Y2"/>
    <mergeCell ref="V2:W2"/>
    <mergeCell ref="R1:S1"/>
    <mergeCell ref="V1:AC1"/>
    <mergeCell ref="N1:O1"/>
    <mergeCell ref="A1:B1"/>
    <mergeCell ref="D1:E1"/>
    <mergeCell ref="G4:H4"/>
    <mergeCell ref="G1:K1"/>
    <mergeCell ref="G2:K2"/>
    <mergeCell ref="G3:K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04ACC-B10B-49F2-A5BB-100DD695A488}">
  <sheetPr codeName="Sheet6"/>
  <dimension ref="A1:E33"/>
  <sheetViews>
    <sheetView topLeftCell="A21" zoomScale="107" workbookViewId="0">
      <selection activeCell="B13" sqref="B13:D33"/>
    </sheetView>
  </sheetViews>
  <sheetFormatPr defaultRowHeight="15" x14ac:dyDescent="0.25"/>
  <cols>
    <col min="1" max="1" width="12.7109375" customWidth="1"/>
    <col min="2" max="2" width="15.7109375" customWidth="1"/>
    <col min="3" max="3" width="22.140625" customWidth="1"/>
    <col min="4" max="4" width="32.7109375" customWidth="1"/>
  </cols>
  <sheetData>
    <row r="1" spans="1:5" ht="15.75" thickBot="1" x14ac:dyDescent="0.3"/>
    <row r="2" spans="1:5" x14ac:dyDescent="0.25">
      <c r="A2" s="21" t="s">
        <v>144</v>
      </c>
      <c r="B2" s="22" t="s">
        <v>145</v>
      </c>
      <c r="C2" s="22" t="s">
        <v>146</v>
      </c>
      <c r="D2" s="22" t="s">
        <v>147</v>
      </c>
      <c r="E2" s="23" t="s">
        <v>164</v>
      </c>
    </row>
    <row r="3" spans="1:5" x14ac:dyDescent="0.25">
      <c r="A3" s="19" t="s">
        <v>148</v>
      </c>
      <c r="B3" s="1" t="s">
        <v>152</v>
      </c>
      <c r="C3" s="1" t="s">
        <v>156</v>
      </c>
      <c r="D3" s="1" t="s">
        <v>160</v>
      </c>
      <c r="E3" s="40" t="s">
        <v>165</v>
      </c>
    </row>
    <row r="4" spans="1:5" ht="31.5" customHeight="1" x14ac:dyDescent="0.25">
      <c r="A4" s="19" t="s">
        <v>149</v>
      </c>
      <c r="B4" s="1" t="s">
        <v>153</v>
      </c>
      <c r="C4" s="1" t="s">
        <v>157</v>
      </c>
      <c r="D4" s="7" t="s">
        <v>161</v>
      </c>
      <c r="E4" s="41" t="s">
        <v>166</v>
      </c>
    </row>
    <row r="5" spans="1:5" ht="33.75" customHeight="1" x14ac:dyDescent="0.25">
      <c r="A5" s="19" t="s">
        <v>150</v>
      </c>
      <c r="B5" s="1" t="s">
        <v>154</v>
      </c>
      <c r="C5" s="1" t="s">
        <v>158</v>
      </c>
      <c r="D5" s="7" t="s">
        <v>162</v>
      </c>
      <c r="E5" s="42" t="s">
        <v>167</v>
      </c>
    </row>
    <row r="6" spans="1:5" ht="15.75" thickBot="1" x14ac:dyDescent="0.3">
      <c r="A6" s="20" t="s">
        <v>151</v>
      </c>
      <c r="B6" s="6" t="s">
        <v>155</v>
      </c>
      <c r="C6" s="6" t="s">
        <v>159</v>
      </c>
      <c r="D6" s="6" t="s">
        <v>163</v>
      </c>
      <c r="E6" s="43" t="s">
        <v>168</v>
      </c>
    </row>
    <row r="12" spans="1:5" ht="15.75" thickBot="1" x14ac:dyDescent="0.3"/>
    <row r="13" spans="1:5" ht="15.75" thickBot="1" x14ac:dyDescent="0.3">
      <c r="B13" s="49" t="s">
        <v>173</v>
      </c>
      <c r="C13" s="50" t="s">
        <v>144</v>
      </c>
      <c r="D13" s="51" t="s">
        <v>180</v>
      </c>
    </row>
    <row r="14" spans="1:5" x14ac:dyDescent="0.25">
      <c r="B14" s="44" t="s">
        <v>169</v>
      </c>
      <c r="C14" s="45" t="s">
        <v>148</v>
      </c>
      <c r="D14" s="48" t="s">
        <v>176</v>
      </c>
    </row>
    <row r="15" spans="1:5" ht="30" x14ac:dyDescent="0.25">
      <c r="B15" s="19" t="s">
        <v>169</v>
      </c>
      <c r="C15" s="1" t="s">
        <v>149</v>
      </c>
      <c r="D15" s="34" t="s">
        <v>178</v>
      </c>
    </row>
    <row r="16" spans="1:5" ht="45" x14ac:dyDescent="0.25">
      <c r="B16" s="19" t="s">
        <v>169</v>
      </c>
      <c r="C16" s="1" t="s">
        <v>150</v>
      </c>
      <c r="D16" s="34" t="s">
        <v>179</v>
      </c>
    </row>
    <row r="17" spans="2:4" ht="60.75" thickBot="1" x14ac:dyDescent="0.3">
      <c r="B17" s="20" t="s">
        <v>169</v>
      </c>
      <c r="C17" s="6" t="s">
        <v>151</v>
      </c>
      <c r="D17" s="35" t="s">
        <v>177</v>
      </c>
    </row>
    <row r="18" spans="2:4" x14ac:dyDescent="0.25">
      <c r="B18" s="44" t="s">
        <v>170</v>
      </c>
      <c r="C18" s="45" t="s">
        <v>148</v>
      </c>
      <c r="D18" s="48" t="s">
        <v>176</v>
      </c>
    </row>
    <row r="19" spans="2:4" ht="30" x14ac:dyDescent="0.25">
      <c r="B19" s="19" t="s">
        <v>170</v>
      </c>
      <c r="C19" s="1" t="s">
        <v>149</v>
      </c>
      <c r="D19" s="34" t="s">
        <v>178</v>
      </c>
    </row>
    <row r="20" spans="2:4" ht="45" x14ac:dyDescent="0.25">
      <c r="B20" s="19" t="s">
        <v>170</v>
      </c>
      <c r="C20" s="1" t="s">
        <v>150</v>
      </c>
      <c r="D20" s="34" t="s">
        <v>179</v>
      </c>
    </row>
    <row r="21" spans="2:4" ht="60.75" thickBot="1" x14ac:dyDescent="0.3">
      <c r="B21" s="20" t="s">
        <v>170</v>
      </c>
      <c r="C21" s="6" t="s">
        <v>151</v>
      </c>
      <c r="D21" s="35" t="s">
        <v>177</v>
      </c>
    </row>
    <row r="22" spans="2:4" x14ac:dyDescent="0.25">
      <c r="B22" s="44" t="s">
        <v>171</v>
      </c>
      <c r="C22" s="45" t="s">
        <v>148</v>
      </c>
      <c r="D22" s="48" t="s">
        <v>176</v>
      </c>
    </row>
    <row r="23" spans="2:4" ht="30" x14ac:dyDescent="0.25">
      <c r="B23" s="19" t="s">
        <v>171</v>
      </c>
      <c r="C23" s="1" t="s">
        <v>149</v>
      </c>
      <c r="D23" s="34" t="s">
        <v>178</v>
      </c>
    </row>
    <row r="24" spans="2:4" ht="45" x14ac:dyDescent="0.25">
      <c r="B24" s="19" t="s">
        <v>171</v>
      </c>
      <c r="C24" s="1" t="s">
        <v>150</v>
      </c>
      <c r="D24" s="34" t="s">
        <v>179</v>
      </c>
    </row>
    <row r="25" spans="2:4" ht="60.75" thickBot="1" x14ac:dyDescent="0.3">
      <c r="B25" s="20" t="s">
        <v>171</v>
      </c>
      <c r="C25" s="6" t="s">
        <v>151</v>
      </c>
      <c r="D25" s="35" t="s">
        <v>177</v>
      </c>
    </row>
    <row r="26" spans="2:4" x14ac:dyDescent="0.25">
      <c r="B26" s="46" t="s">
        <v>172</v>
      </c>
      <c r="C26" s="27" t="s">
        <v>148</v>
      </c>
      <c r="D26" s="47" t="s">
        <v>176</v>
      </c>
    </row>
    <row r="27" spans="2:4" ht="30" x14ac:dyDescent="0.25">
      <c r="B27" s="19" t="s">
        <v>172</v>
      </c>
      <c r="C27" s="1" t="s">
        <v>149</v>
      </c>
      <c r="D27" s="34" t="s">
        <v>178</v>
      </c>
    </row>
    <row r="28" spans="2:4" ht="45" x14ac:dyDescent="0.25">
      <c r="B28" s="19" t="s">
        <v>172</v>
      </c>
      <c r="C28" s="1" t="s">
        <v>150</v>
      </c>
      <c r="D28" s="34" t="s">
        <v>179</v>
      </c>
    </row>
    <row r="29" spans="2:4" ht="60.75" thickBot="1" x14ac:dyDescent="0.3">
      <c r="B29" s="78" t="s">
        <v>172</v>
      </c>
      <c r="C29" s="79" t="s">
        <v>151</v>
      </c>
      <c r="D29" s="80" t="s">
        <v>177</v>
      </c>
    </row>
    <row r="30" spans="2:4" x14ac:dyDescent="0.25">
      <c r="B30" s="81" t="s">
        <v>208</v>
      </c>
      <c r="C30" s="82" t="s">
        <v>148</v>
      </c>
      <c r="D30" s="48" t="s">
        <v>209</v>
      </c>
    </row>
    <row r="31" spans="2:4" ht="30" x14ac:dyDescent="0.25">
      <c r="B31" s="83" t="s">
        <v>208</v>
      </c>
      <c r="C31" s="7" t="s">
        <v>149</v>
      </c>
      <c r="D31" s="34" t="s">
        <v>178</v>
      </c>
    </row>
    <row r="32" spans="2:4" ht="30" x14ac:dyDescent="0.25">
      <c r="B32" s="83" t="s">
        <v>208</v>
      </c>
      <c r="C32" s="7" t="s">
        <v>150</v>
      </c>
      <c r="D32" s="34" t="s">
        <v>210</v>
      </c>
    </row>
    <row r="33" spans="2:4" ht="45.75" thickBot="1" x14ac:dyDescent="0.3">
      <c r="B33" s="84" t="s">
        <v>208</v>
      </c>
      <c r="C33" s="8" t="s">
        <v>151</v>
      </c>
      <c r="D33" s="35" t="s">
        <v>211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AC653-65EA-428F-ACEF-D9F564AAD46A}">
  <sheetPr codeName="Sheet4"/>
  <dimension ref="B4:G21"/>
  <sheetViews>
    <sheetView topLeftCell="A5" zoomScale="86" workbookViewId="0">
      <selection activeCell="C9" sqref="C9"/>
    </sheetView>
  </sheetViews>
  <sheetFormatPr defaultColWidth="19.85546875" defaultRowHeight="31.5" customHeight="1" x14ac:dyDescent="0.25"/>
  <cols>
    <col min="1" max="1" width="19.85546875" customWidth="1"/>
    <col min="2" max="2" width="8.140625" customWidth="1"/>
    <col min="3" max="3" width="28.42578125" customWidth="1"/>
    <col min="4" max="4" width="32.28515625" customWidth="1"/>
  </cols>
  <sheetData>
    <row r="4" spans="2:7" ht="31.5" customHeight="1" thickBot="1" x14ac:dyDescent="0.3"/>
    <row r="5" spans="2:7" ht="31.5" customHeight="1" thickBot="1" x14ac:dyDescent="0.3">
      <c r="B5" s="144" t="s">
        <v>65</v>
      </c>
      <c r="C5" s="145"/>
      <c r="D5" s="146"/>
      <c r="G5" t="e">
        <f xml:space="preserve"> 9*(VLOOKUP(Panel_Form!#REF!,'Parameters chart'!C4:D8, 2,0))</f>
        <v>#REF!</v>
      </c>
    </row>
    <row r="6" spans="2:7" ht="31.5" customHeight="1" x14ac:dyDescent="0.25">
      <c r="B6" s="138" t="s">
        <v>58</v>
      </c>
      <c r="C6" s="71" t="s">
        <v>61</v>
      </c>
      <c r="D6" s="72"/>
    </row>
    <row r="7" spans="2:7" ht="31.5" customHeight="1" x14ac:dyDescent="0.25">
      <c r="B7" s="139"/>
      <c r="C7" s="73" t="s">
        <v>5</v>
      </c>
      <c r="D7" s="15"/>
    </row>
    <row r="8" spans="2:7" ht="31.5" customHeight="1" x14ac:dyDescent="0.25">
      <c r="B8" s="139"/>
      <c r="C8" s="73" t="s">
        <v>212</v>
      </c>
      <c r="D8" s="15"/>
    </row>
    <row r="9" spans="2:7" ht="31.5" customHeight="1" x14ac:dyDescent="0.25">
      <c r="B9" s="139"/>
      <c r="C9" s="73" t="s">
        <v>11</v>
      </c>
      <c r="D9" s="15"/>
    </row>
    <row r="10" spans="2:7" ht="31.5" customHeight="1" x14ac:dyDescent="0.25">
      <c r="B10" s="139"/>
      <c r="C10" s="73" t="s">
        <v>15</v>
      </c>
      <c r="D10" s="15"/>
    </row>
    <row r="11" spans="2:7" ht="31.5" customHeight="1" x14ac:dyDescent="0.25">
      <c r="B11" s="139"/>
      <c r="C11" s="73" t="s">
        <v>20</v>
      </c>
      <c r="D11" s="15"/>
    </row>
    <row r="12" spans="2:7" ht="31.5" customHeight="1" thickBot="1" x14ac:dyDescent="0.3">
      <c r="B12" s="140"/>
      <c r="C12" s="74" t="s">
        <v>64</v>
      </c>
      <c r="D12" s="16"/>
    </row>
    <row r="13" spans="2:7" ht="31.5" customHeight="1" x14ac:dyDescent="0.25">
      <c r="B13" s="138" t="s">
        <v>59</v>
      </c>
      <c r="C13" s="71" t="s">
        <v>28</v>
      </c>
      <c r="D13" s="72"/>
    </row>
    <row r="14" spans="2:7" ht="31.5" customHeight="1" x14ac:dyDescent="0.25">
      <c r="B14" s="139"/>
      <c r="C14" s="73" t="s">
        <v>40</v>
      </c>
      <c r="D14" s="15"/>
    </row>
    <row r="15" spans="2:7" ht="31.5" customHeight="1" x14ac:dyDescent="0.25">
      <c r="B15" s="139"/>
      <c r="C15" s="73" t="s">
        <v>41</v>
      </c>
      <c r="D15" s="15"/>
    </row>
    <row r="16" spans="2:7" ht="31.5" customHeight="1" x14ac:dyDescent="0.25">
      <c r="B16" s="139"/>
      <c r="C16" s="73" t="s">
        <v>42</v>
      </c>
      <c r="D16" s="15"/>
    </row>
    <row r="17" spans="2:4" ht="31.5" customHeight="1" thickBot="1" x14ac:dyDescent="0.3">
      <c r="B17" s="140"/>
      <c r="C17" s="74" t="s">
        <v>43</v>
      </c>
      <c r="D17" s="16"/>
    </row>
    <row r="18" spans="2:4" ht="36.75" customHeight="1" x14ac:dyDescent="0.25">
      <c r="B18" s="141" t="s">
        <v>60</v>
      </c>
      <c r="C18" s="71" t="s">
        <v>54</v>
      </c>
      <c r="D18" s="72"/>
    </row>
    <row r="19" spans="2:4" ht="33" customHeight="1" x14ac:dyDescent="0.25">
      <c r="B19" s="142"/>
      <c r="C19" s="73" t="s">
        <v>55</v>
      </c>
      <c r="D19" s="15"/>
    </row>
    <row r="20" spans="2:4" ht="39" customHeight="1" x14ac:dyDescent="0.25">
      <c r="B20" s="142"/>
      <c r="C20" s="73" t="s">
        <v>56</v>
      </c>
      <c r="D20" s="15"/>
    </row>
    <row r="21" spans="2:4" ht="36.75" customHeight="1" thickBot="1" x14ac:dyDescent="0.3">
      <c r="B21" s="143"/>
      <c r="C21" s="74" t="s">
        <v>57</v>
      </c>
      <c r="D21" s="16"/>
    </row>
  </sheetData>
  <mergeCells count="4">
    <mergeCell ref="B6:B12"/>
    <mergeCell ref="B13:B17"/>
    <mergeCell ref="B18:B21"/>
    <mergeCell ref="B5:D5"/>
  </mergeCells>
  <dataValidations count="2">
    <dataValidation type="list" allowBlank="1" showInputMessage="1" showErrorMessage="1" sqref="D8" xr:uid="{441F637C-F881-49F6-9360-F09E57F8D25E}">
      <formula1>CMRR</formula1>
    </dataValidation>
    <dataValidation type="list" allowBlank="1" showInputMessage="1" showErrorMessage="1" sqref="D7" xr:uid="{C043E4B5-D795-42F7-8388-49CD3BEAAABC}">
      <formula1>Depth_of_cover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ddpanel_paneldatabase">
                <anchor moveWithCells="1" sizeWithCells="1">
                  <from>
                    <xdr:col>2</xdr:col>
                    <xdr:colOff>76200</xdr:colOff>
                    <xdr:row>22</xdr:row>
                    <xdr:rowOff>133350</xdr:rowOff>
                  </from>
                  <to>
                    <xdr:col>3</xdr:col>
                    <xdr:colOff>561975</xdr:colOff>
                    <xdr:row>23</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B845021C-9E24-44AE-862F-805A047D66D2}">
          <x14:formula1>
            <xm:f>'Parameters chart'!$C$14:$C$16</xm:f>
          </x14:formula1>
          <xm:sqref>D9</xm:sqref>
        </x14:dataValidation>
        <x14:dataValidation type="list" allowBlank="1" showInputMessage="1" showErrorMessage="1" xr:uid="{BFAAFFCD-2C77-4500-8121-1FD8C8E56299}">
          <x14:formula1>
            <xm:f>'Parameters chart'!$C$17:$C$20</xm:f>
          </x14:formula1>
          <xm:sqref>D10</xm:sqref>
        </x14:dataValidation>
        <x14:dataValidation type="list" allowBlank="1" showInputMessage="1" showErrorMessage="1" xr:uid="{08C7A533-2F9D-469E-847D-7B308823B747}">
          <x14:formula1>
            <xm:f>'Parameters chart'!$C$21:$C$23</xm:f>
          </x14:formula1>
          <xm:sqref>D11</xm:sqref>
        </x14:dataValidation>
        <x14:dataValidation type="list" allowBlank="1" showInputMessage="1" showErrorMessage="1" xr:uid="{14A70429-9857-414E-B805-00F00EBD6433}">
          <x14:formula1>
            <xm:f>'Parameters chart'!$C$24:$C$28</xm:f>
          </x14:formula1>
          <xm:sqref>D12</xm:sqref>
        </x14:dataValidation>
        <x14:dataValidation type="list" allowBlank="1" showInputMessage="1" showErrorMessage="1" xr:uid="{872F1063-923F-48F6-B03D-D1038A510A58}">
          <x14:formula1>
            <xm:f>'Parameters chart'!$I$4:$I$6</xm:f>
          </x14:formula1>
          <xm:sqref>D13</xm:sqref>
        </x14:dataValidation>
        <x14:dataValidation type="list" allowBlank="1" showInputMessage="1" showErrorMessage="1" xr:uid="{C40BD500-DB22-4117-8DDD-E5606320331B}">
          <x14:formula1>
            <xm:f>'Parameters chart'!$I$7:$I$9</xm:f>
          </x14:formula1>
          <xm:sqref>D14</xm:sqref>
        </x14:dataValidation>
        <x14:dataValidation type="list" allowBlank="1" showInputMessage="1" showErrorMessage="1" xr:uid="{8B3E4592-7D18-4840-BA31-B3ED3888C4CD}">
          <x14:formula1>
            <xm:f>'Parameters chart'!$I$10:$I$12</xm:f>
          </x14:formula1>
          <xm:sqref>D15</xm:sqref>
        </x14:dataValidation>
        <x14:dataValidation type="list" allowBlank="1" showInputMessage="1" showErrorMessage="1" xr:uid="{B80F9C38-48BE-46B2-8578-D05F0D02C4B5}">
          <x14:formula1>
            <xm:f>'Parameters chart'!$I$13:$I$14</xm:f>
          </x14:formula1>
          <xm:sqref>D16</xm:sqref>
        </x14:dataValidation>
        <x14:dataValidation type="list" allowBlank="1" showInputMessage="1" showErrorMessage="1" xr:uid="{8802CD2D-0E7C-465C-B4BB-A09403022EEB}">
          <x14:formula1>
            <xm:f>'Parameters chart'!$I$15:$I$17</xm:f>
          </x14:formula1>
          <xm:sqref>D17</xm:sqref>
        </x14:dataValidation>
        <x14:dataValidation type="list" allowBlank="1" showInputMessage="1" showErrorMessage="1" xr:uid="{00B3FEE2-53CD-46F8-AECA-923DD7AEF2AB}">
          <x14:formula1>
            <xm:f>'Parameters chart'!$O$4:$O$6</xm:f>
          </x14:formula1>
          <xm:sqref>D18</xm:sqref>
        </x14:dataValidation>
        <x14:dataValidation type="list" allowBlank="1" showInputMessage="1" showErrorMessage="1" xr:uid="{D478172D-BDBC-4D44-99B5-9011F365C5E4}">
          <x14:formula1>
            <xm:f>'Parameters chart'!$O$7:$O$9</xm:f>
          </x14:formula1>
          <xm:sqref>D19</xm:sqref>
        </x14:dataValidation>
        <x14:dataValidation type="list" allowBlank="1" showInputMessage="1" showErrorMessage="1" xr:uid="{EBC4C211-EA0D-47B4-9206-F83D599E52A8}">
          <x14:formula1>
            <xm:f>'Parameters chart'!$O$10:$O$11</xm:f>
          </x14:formula1>
          <xm:sqref>D20</xm:sqref>
        </x14:dataValidation>
        <x14:dataValidation type="list" allowBlank="1" showInputMessage="1" showErrorMessage="1" xr:uid="{B06F5DBE-A050-4AE1-BAB3-AFE82020AA28}">
          <x14:formula1>
            <xm:f>'Parameters chart'!$O$12:$O$13</xm:f>
          </x14:formula1>
          <xm:sqref>D21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DC361-39D9-48C7-A61F-31DC28F7F8E9}">
  <sheetPr codeName="Sheet5"/>
  <dimension ref="A1:R13"/>
  <sheetViews>
    <sheetView tabSelected="1" topLeftCell="G1" zoomScale="89" workbookViewId="0">
      <selection activeCell="P8" sqref="P8"/>
    </sheetView>
  </sheetViews>
  <sheetFormatPr defaultColWidth="17.85546875" defaultRowHeight="15" x14ac:dyDescent="0.25"/>
  <cols>
    <col min="1" max="1" width="9.28515625" customWidth="1"/>
    <col min="3" max="3" width="22.140625" customWidth="1"/>
    <col min="4" max="4" width="25.85546875" customWidth="1"/>
    <col min="5" max="5" width="18.42578125" customWidth="1"/>
    <col min="7" max="7" width="27" customWidth="1"/>
    <col min="8" max="8" width="47.140625" customWidth="1"/>
    <col min="10" max="10" width="18.28515625" customWidth="1"/>
    <col min="14" max="14" width="20.85546875" customWidth="1"/>
    <col min="15" max="15" width="22.85546875" customWidth="1"/>
  </cols>
  <sheetData>
    <row r="1" spans="1:18" s="12" customFormat="1" ht="25.5" customHeight="1" thickBot="1" x14ac:dyDescent="0.3">
      <c r="A1" s="12" t="s">
        <v>0</v>
      </c>
      <c r="B1" s="12" t="s">
        <v>61</v>
      </c>
      <c r="C1" s="12" t="s">
        <v>5</v>
      </c>
      <c r="D1" s="12" t="s">
        <v>212</v>
      </c>
      <c r="E1" s="12" t="s">
        <v>11</v>
      </c>
      <c r="F1" s="12" t="s">
        <v>15</v>
      </c>
      <c r="G1" s="12" t="s">
        <v>20</v>
      </c>
      <c r="H1" s="12" t="s">
        <v>62</v>
      </c>
      <c r="I1" s="12" t="s">
        <v>28</v>
      </c>
      <c r="J1" s="12" t="s">
        <v>40</v>
      </c>
      <c r="K1" s="12" t="s">
        <v>41</v>
      </c>
      <c r="L1" s="12" t="s">
        <v>42</v>
      </c>
      <c r="M1" s="12" t="s">
        <v>43</v>
      </c>
      <c r="N1" s="12" t="s">
        <v>54</v>
      </c>
      <c r="O1" s="12" t="s">
        <v>55</v>
      </c>
      <c r="P1" s="12" t="s">
        <v>56</v>
      </c>
      <c r="Q1" s="12" t="s">
        <v>57</v>
      </c>
      <c r="R1" s="12" t="s">
        <v>63</v>
      </c>
    </row>
    <row r="2" spans="1:18" x14ac:dyDescent="0.25">
      <c r="A2" s="75"/>
      <c r="B2" s="76"/>
      <c r="C2" s="77"/>
      <c r="D2" s="77"/>
      <c r="E2" s="77"/>
      <c r="F2" s="77"/>
      <c r="G2" s="77"/>
      <c r="H2" s="77"/>
      <c r="I2" s="76"/>
      <c r="J2" s="77"/>
      <c r="K2" s="77"/>
      <c r="L2" s="77"/>
      <c r="M2" s="77"/>
      <c r="N2" s="76"/>
      <c r="O2" s="77"/>
      <c r="P2" s="77"/>
      <c r="Q2" s="77"/>
      <c r="R2" s="147">
        <v>58</v>
      </c>
    </row>
    <row r="3" spans="1:18" x14ac:dyDescent="0.25">
      <c r="R3" s="148">
        <v>57</v>
      </c>
    </row>
    <row r="4" spans="1:18" x14ac:dyDescent="0.25">
      <c r="R4" s="147"/>
    </row>
    <row r="5" spans="1:18" x14ac:dyDescent="0.25">
      <c r="R5" s="148"/>
    </row>
    <row r="6" spans="1:18" x14ac:dyDescent="0.25">
      <c r="R6" s="85"/>
    </row>
    <row r="7" spans="1:18" x14ac:dyDescent="0.25">
      <c r="R7" s="85"/>
    </row>
    <row r="8" spans="1:18" x14ac:dyDescent="0.25">
      <c r="R8" s="85"/>
    </row>
    <row r="9" spans="1:18" x14ac:dyDescent="0.25">
      <c r="R9" s="85"/>
    </row>
    <row r="10" spans="1:18" x14ac:dyDescent="0.25">
      <c r="R10" s="85"/>
    </row>
    <row r="11" spans="1:18" x14ac:dyDescent="0.25">
      <c r="R11" s="85"/>
    </row>
    <row r="12" spans="1:18" x14ac:dyDescent="0.25">
      <c r="R12" s="85"/>
    </row>
    <row r="13" spans="1:18" x14ac:dyDescent="0.25">
      <c r="R13" s="85"/>
    </row>
  </sheetData>
  <phoneticPr fontId="9" type="noConversion"/>
  <dataValidations count="2">
    <dataValidation type="list" allowBlank="1" showInputMessage="1" showErrorMessage="1" sqref="C2:C5" xr:uid="{85EA1535-931A-49D9-B8FA-A611865FC787}">
      <formula1>Depth_of_cover</formula1>
    </dataValidation>
    <dataValidation type="list" allowBlank="1" showInputMessage="1" showErrorMessage="1" sqref="D2:D5" xr:uid="{3B784EF8-4734-4FF2-869C-2B45A0D603CB}">
      <formula1>CMRR</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3">
        <x14:dataValidation type="list" allowBlank="1" showInputMessage="1" showErrorMessage="1" xr:uid="{9035BB0E-5442-4CC7-B25F-15749E362B7B}">
          <x14:formula1>
            <xm:f>'Parameters chart'!$O$12:$O$13</xm:f>
          </x14:formula1>
          <xm:sqref>Q2:Q5</xm:sqref>
        </x14:dataValidation>
        <x14:dataValidation type="list" allowBlank="1" showInputMessage="1" showErrorMessage="1" xr:uid="{9E6006F5-ECCD-45F1-ACFC-0B224FD1AD29}">
          <x14:formula1>
            <xm:f>'Parameters chart'!$O$10:$O$11</xm:f>
          </x14:formula1>
          <xm:sqref>P2:P5</xm:sqref>
        </x14:dataValidation>
        <x14:dataValidation type="list" allowBlank="1" showInputMessage="1" showErrorMessage="1" xr:uid="{9F207D1A-E030-410C-A9B6-C30A5639BB25}">
          <x14:formula1>
            <xm:f>'Parameters chart'!$O$7:$O$9</xm:f>
          </x14:formula1>
          <xm:sqref>O2:O5</xm:sqref>
        </x14:dataValidation>
        <x14:dataValidation type="list" allowBlank="1" showInputMessage="1" showErrorMessage="1" xr:uid="{366ADB03-53C6-48AC-B512-85FC307EC035}">
          <x14:formula1>
            <xm:f>'Parameters chart'!$O$4:$O$6</xm:f>
          </x14:formula1>
          <xm:sqref>N2:N5</xm:sqref>
        </x14:dataValidation>
        <x14:dataValidation type="list" allowBlank="1" showInputMessage="1" showErrorMessage="1" xr:uid="{7B0DD728-B8BD-445A-9388-6679C664E7B6}">
          <x14:formula1>
            <xm:f>'Parameters chart'!$I$15:$I$17</xm:f>
          </x14:formula1>
          <xm:sqref>M2:M5</xm:sqref>
        </x14:dataValidation>
        <x14:dataValidation type="list" allowBlank="1" showInputMessage="1" showErrorMessage="1" xr:uid="{1DD1DACD-BA13-417B-93BC-CC589D1D27BD}">
          <x14:formula1>
            <xm:f>'Parameters chart'!$I$13:$I$14</xm:f>
          </x14:formula1>
          <xm:sqref>L2:L5</xm:sqref>
        </x14:dataValidation>
        <x14:dataValidation type="list" allowBlank="1" showInputMessage="1" showErrorMessage="1" xr:uid="{B5E5705A-C318-44CE-8611-8C796492A552}">
          <x14:formula1>
            <xm:f>'Parameters chart'!$I$10:$I$12</xm:f>
          </x14:formula1>
          <xm:sqref>K2:K5</xm:sqref>
        </x14:dataValidation>
        <x14:dataValidation type="list" allowBlank="1" showInputMessage="1" showErrorMessage="1" xr:uid="{85A45A9F-647D-40A2-BB95-7BF4414FCEE4}">
          <x14:formula1>
            <xm:f>'Parameters chart'!$I$7:$I$9</xm:f>
          </x14:formula1>
          <xm:sqref>J2:J5</xm:sqref>
        </x14:dataValidation>
        <x14:dataValidation type="list" allowBlank="1" showInputMessage="1" showErrorMessage="1" xr:uid="{F8905897-31F5-40FF-BA0A-81BEC289C3B2}">
          <x14:formula1>
            <xm:f>'Parameters chart'!$I$4:$I$6</xm:f>
          </x14:formula1>
          <xm:sqref>I2:I5</xm:sqref>
        </x14:dataValidation>
        <x14:dataValidation type="list" allowBlank="1" showInputMessage="1" showErrorMessage="1" xr:uid="{BC0D157A-5B31-4A8D-A3B3-E2420D3D64BE}">
          <x14:formula1>
            <xm:f>'Parameters chart'!$C$24:$C$28</xm:f>
          </x14:formula1>
          <xm:sqref>H2:H5</xm:sqref>
        </x14:dataValidation>
        <x14:dataValidation type="list" allowBlank="1" showInputMessage="1" showErrorMessage="1" xr:uid="{4EB5486F-A8E5-4207-AA1A-5CC263918CAB}">
          <x14:formula1>
            <xm:f>'Parameters chart'!$C$21:$C$23</xm:f>
          </x14:formula1>
          <xm:sqref>G2:G5</xm:sqref>
        </x14:dataValidation>
        <x14:dataValidation type="list" allowBlank="1" showInputMessage="1" showErrorMessage="1" xr:uid="{00A3F765-F195-475B-8208-30367FA9E962}">
          <x14:formula1>
            <xm:f>'Parameters chart'!$C$17:$C$20</xm:f>
          </x14:formula1>
          <xm:sqref>F2:F5</xm:sqref>
        </x14:dataValidation>
        <x14:dataValidation type="list" allowBlank="1" showInputMessage="1" showErrorMessage="1" xr:uid="{060A3EDB-ADA9-440A-9672-A1AE757034AA}">
          <x14:formula1>
            <xm:f>'Parameters chart'!$C$14:$C$16</xm:f>
          </x14:formula1>
          <xm:sqref>E2:E5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Parameters chart</vt:lpstr>
      <vt:lpstr>Precaution</vt:lpstr>
      <vt:lpstr>Mitigation</vt:lpstr>
      <vt:lpstr>Mapping</vt:lpstr>
      <vt:lpstr>Panel_Form</vt:lpstr>
      <vt:lpstr>Panel_Data</vt:lpstr>
      <vt:lpstr>CMRR</vt:lpstr>
      <vt:lpstr>Depth_of_cover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Mansit Suman</dc:creator>
  <cp:lastModifiedBy>Nagasai Pennada</cp:lastModifiedBy>
  <dcterms:created xsi:type="dcterms:W3CDTF">2020-05-20T03:32:36Z</dcterms:created>
  <dcterms:modified xsi:type="dcterms:W3CDTF">2020-06-01T07:47:44Z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42d9d8fe-e3bc-400b-a176-1f121a14901e</vt:lpwstr>
  </property>
</Properties>
</file>